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1600" windowHeight="95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<sst xmlns="http://schemas.openxmlformats.org/spreadsheetml/2006/main" count="95" uniqueCount="50">
  <si>
    <t>Location</t>
  </si>
  <si>
    <t>Category</t>
  </si>
  <si>
    <t>11月1日     周六</t>
  </si>
  <si>
    <t>11月2日     周日</t>
  </si>
  <si>
    <t>11月3日     周一</t>
  </si>
  <si>
    <t>11月4日     周二</t>
  </si>
  <si>
    <t>11月5日     周三</t>
  </si>
  <si>
    <t>11月6日     周四</t>
  </si>
  <si>
    <t>11月7日     周五</t>
  </si>
  <si>
    <t>11月8日                                                                            周六</t>
  </si>
  <si>
    <t>11月9日     周日</t>
  </si>
  <si>
    <t>11月10日     周一</t>
  </si>
  <si>
    <t>11月11日     周二</t>
  </si>
  <si>
    <t>11月12日     周三</t>
  </si>
  <si>
    <t>11月13日     周四</t>
  </si>
  <si>
    <t>11月14日     周五</t>
  </si>
  <si>
    <t>11月15日     周六</t>
  </si>
  <si>
    <t>11月16日     周日</t>
  </si>
  <si>
    <t>11月17日     周一</t>
  </si>
  <si>
    <t>11月18日     周二</t>
  </si>
  <si>
    <t>11月19日     周三</t>
  </si>
  <si>
    <t>11月20日     周四</t>
  </si>
  <si>
    <t>11月21日     周五</t>
  </si>
  <si>
    <t>11月22日     周六</t>
  </si>
  <si>
    <t>11月23日     周日</t>
  </si>
  <si>
    <t>11月24日     周一</t>
  </si>
  <si>
    <t>11月25日     周二</t>
  </si>
  <si>
    <t>11月26日     周三</t>
  </si>
  <si>
    <t>11月27日     周四</t>
  </si>
  <si>
    <t>11月28日     周五</t>
  </si>
  <si>
    <t>11月29日     周六</t>
  </si>
  <si>
    <t>11月30日     周日</t>
  </si>
  <si>
    <t>TOTAL
(by month)</t>
  </si>
  <si>
    <t>China</t>
  </si>
  <si>
    <t>RFID</t>
  </si>
  <si>
    <t>贴纸  44X18MM</t>
  </si>
  <si>
    <t>吊牌  45X76MM</t>
  </si>
  <si>
    <t>吊牌  45X61MM</t>
  </si>
  <si>
    <t>半成品</t>
  </si>
  <si>
    <t>吊牌</t>
  </si>
  <si>
    <t>贴纸</t>
  </si>
  <si>
    <t>卡类（袜卡/腰封）</t>
  </si>
  <si>
    <t>洗标</t>
  </si>
  <si>
    <t>TOTAL(PCS)</t>
  </si>
  <si>
    <t>Vietnam</t>
  </si>
  <si>
    <t>Cambodia</t>
  </si>
  <si>
    <t>Indonesia</t>
  </si>
  <si>
    <t>Bangladesh</t>
  </si>
  <si>
    <t>织标</t>
  </si>
  <si>
    <t>India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</si>
</sst>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</numFmts>
  <fonts count="27">
    <font>
      <sz val="11"/>
      <color theme="1"/>
      <name val="宋体"/>
      <charset val="134"/>
      <scheme val="minor"/>
    </font>
    <font>
      <b/>
      <sz val="16"/>
      <name val="Calibri"/>
      <charset val="134"/>
    </font>
    <font>
      <b/>
      <sz val="12"/>
      <color rgb="FF000000"/>
      <name val="等线"/>
      <charset val="134"/>
    </font>
    <font>
      <b/>
      <sz val="12"/>
      <color rgb="FF000000"/>
      <name val="隶书"/>
      <charset val="134"/>
    </font>
    <font>
      <b/>
      <sz val="18"/>
      <name val="Calibri"/>
      <charset val="134"/>
    </font>
    <font>
      <b/>
      <sz val="11"/>
      <color rgb="FF000000"/>
      <name val="等线"/>
      <charset val="134"/>
    </font>
    <font>
      <b/>
      <sz val="11"/>
      <name val="Calibri"/>
      <charset val="134"/>
    </font>
    <font>
      <sz val="11"/>
      <color theme="1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DDEBF7"/>
        <bgColor rgb="FF000000"/>
      </patternFill>
    </fill>
    <fill>
      <patternFill patternType="solid">
        <fgColor rgb="FFEDEDED"/>
        <bgColor rgb="FF000000"/>
      </patternFill>
    </fill>
    <fill>
      <patternFill patternType="solid">
        <fgColor rgb="FFFFFFFF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9" borderId="5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10" borderId="8" applyNumberFormat="0" applyAlignment="0" applyProtection="0">
      <alignment vertical="center"/>
    </xf>
    <xf numFmtId="0" fontId="17" fillId="11" borderId="9" applyNumberFormat="0" applyAlignment="0" applyProtection="0">
      <alignment vertical="center"/>
    </xf>
    <xf numFmtId="0" fontId="18" fillId="11" borderId="8" applyNumberFormat="0" applyAlignment="0" applyProtection="0">
      <alignment vertical="center"/>
    </xf>
    <xf numFmtId="0" fontId="19" fillId="12" borderId="10" applyNumberFormat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24">
    <xf numFmtId="0" fontId="0" fillId="0" borderId="0" xfId="0">
      <alignment vertical="center"/>
    </xf>
    <xf numFmtId="0" fontId="1" fillId="2" borderId="1" xfId="49" applyFont="1" applyFill="1" applyBorder="1" applyAlignment="1" applyProtection="1">
      <alignment horizontal="center" vertical="center" wrapText="1"/>
      <protection locked="0"/>
    </xf>
    <xf numFmtId="0" fontId="1" fillId="3" borderId="1" xfId="49" applyFont="1" applyFill="1" applyBorder="1" applyAlignment="1" applyProtection="1">
      <alignment horizontal="center" vertical="center" wrapText="1"/>
      <protection locked="0"/>
    </xf>
    <xf numFmtId="58" fontId="2" fillId="4" borderId="1" xfId="0" applyNumberFormat="1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4" fillId="6" borderId="2" xfId="49" applyFont="1" applyFill="1" applyBorder="1" applyAlignment="1" applyProtection="1">
      <alignment horizontal="center" vertical="center"/>
      <protection locked="0"/>
    </xf>
    <xf numFmtId="0" fontId="5" fillId="7" borderId="2" xfId="0" applyFont="1" applyFill="1" applyBorder="1" applyAlignment="1" applyProtection="1">
      <alignment horizontal="center" vertical="center"/>
      <protection locked="0"/>
    </xf>
    <xf numFmtId="0" fontId="5" fillId="7" borderId="1" xfId="0" applyFont="1" applyFill="1" applyBorder="1" applyAlignment="1" applyProtection="1">
      <alignment horizontal="left" vertical="center"/>
      <protection locked="0"/>
    </xf>
    <xf numFmtId="176" fontId="5" fillId="0" borderId="1" xfId="0" applyNumberFormat="1" applyFont="1" applyFill="1" applyBorder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/>
    </xf>
    <xf numFmtId="0" fontId="5" fillId="0" borderId="1" xfId="0" applyFont="1" applyFill="1" applyBorder="1" applyAlignment="1">
      <alignment horizontal="center"/>
    </xf>
    <xf numFmtId="0" fontId="5" fillId="0" borderId="1" xfId="0" applyFont="1" applyFill="1" applyBorder="1" applyAlignment="1">
      <alignment horizontal="center" vertical="center"/>
    </xf>
    <xf numFmtId="176" fontId="5" fillId="5" borderId="1" xfId="0" applyNumberFormat="1" applyFont="1" applyFill="1" applyBorder="1" applyAlignment="1"/>
    <xf numFmtId="0" fontId="4" fillId="6" borderId="3" xfId="49" applyFont="1" applyFill="1" applyBorder="1" applyAlignment="1" applyProtection="1">
      <alignment horizontal="center" vertical="center"/>
      <protection locked="0"/>
    </xf>
    <xf numFmtId="0" fontId="5" fillId="7" borderId="3" xfId="0" applyFont="1" applyFill="1" applyBorder="1" applyAlignment="1" applyProtection="1">
      <alignment horizontal="center" vertical="center"/>
      <protection locked="0"/>
    </xf>
    <xf numFmtId="0" fontId="5" fillId="7" borderId="4" xfId="0" applyFont="1" applyFill="1" applyBorder="1" applyAlignment="1" applyProtection="1">
      <alignment horizontal="center" vertical="center"/>
      <protection locked="0"/>
    </xf>
    <xf numFmtId="0" fontId="5" fillId="7" borderId="1" xfId="0" applyFont="1" applyFill="1" applyBorder="1" applyAlignment="1" applyProtection="1">
      <alignment horizontal="center" vertical="center"/>
      <protection locked="0"/>
    </xf>
    <xf numFmtId="0" fontId="4" fillId="6" borderId="4" xfId="49" applyFont="1" applyFill="1" applyBorder="1" applyAlignment="1" applyProtection="1">
      <alignment horizontal="center" vertical="center"/>
      <protection locked="0"/>
    </xf>
    <xf numFmtId="0" fontId="6" fillId="8" borderId="1" xfId="49" applyFont="1" applyFill="1" applyBorder="1" applyAlignment="1" applyProtection="1">
      <alignment horizontal="center" vertical="center"/>
      <protection locked="0"/>
    </xf>
    <xf numFmtId="176" fontId="5" fillId="8" borderId="1" xfId="0" applyNumberFormat="1" applyFont="1" applyFill="1" applyBorder="1" applyAlignment="1">
      <alignment horizontal="center" vertical="center"/>
    </xf>
    <xf numFmtId="176" fontId="5" fillId="8" borderId="1" xfId="0" applyNumberFormat="1" applyFont="1" applyFill="1" applyBorder="1" applyAlignment="1">
      <alignment horizontal="center"/>
    </xf>
    <xf numFmtId="0" fontId="4" fillId="6" borderId="1" xfId="49" applyFont="1" applyFill="1" applyBorder="1" applyAlignment="1" applyProtection="1">
      <alignment horizontal="center" vertical="center"/>
      <protection locked="0"/>
    </xf>
    <xf numFmtId="0" fontId="7" fillId="0" borderId="0" xfId="0" applyFont="1" applyFill="1" applyAlignment="1">
      <alignment horizontal="center"/>
    </xf>
    <xf numFmtId="176" fontId="5" fillId="8" borderId="1" xfId="0" applyNumberFormat="1" applyFont="1" applyFill="1" applyBorder="1" applyAlignment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51"/>
  <sheetViews>
    <sheetView tabSelected="1" zoomScale="85" zoomScaleNormal="85" workbookViewId="0">
      <selection activeCell="D1" sqref="D1"/>
    </sheetView>
  </sheetViews>
  <sheetFormatPr defaultColWidth="9" defaultRowHeight="13.5"/>
  <cols>
    <col min="1" max="1" width="15.4333333333333" customWidth="1"/>
    <col min="3" max="3" width="17.375" customWidth="1"/>
    <col min="34" max="34" width="9.875"/>
  </cols>
  <sheetData>
    <row r="1" ht="27" customHeight="1" spans="1:34">
      <c r="A1" s="1" t="s">
        <v>0</v>
      </c>
      <c r="B1" s="2" t="s">
        <v>1</v>
      </c>
      <c r="C1" s="2"/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  <c r="AG1" s="3" t="s">
        <v>31</v>
      </c>
      <c r="AH1" s="4" t="s">
        <v>32</v>
      </c>
    </row>
    <row r="2" ht="14.25" spans="1:34">
      <c r="A2" s="5" t="s">
        <v>33</v>
      </c>
      <c r="B2" s="6" t="s">
        <v>34</v>
      </c>
      <c r="C2" s="7" t="s">
        <v>35</v>
      </c>
      <c r="D2" s="8"/>
      <c r="E2" s="8"/>
      <c r="F2" s="8">
        <v>330385</v>
      </c>
      <c r="G2" s="8">
        <v>189144</v>
      </c>
      <c r="H2" s="8">
        <v>68040</v>
      </c>
      <c r="I2" s="8">
        <v>295619</v>
      </c>
      <c r="J2" s="8">
        <v>311592</v>
      </c>
      <c r="K2" s="8">
        <v>138461</v>
      </c>
      <c r="L2" s="8"/>
      <c r="M2" s="8">
        <v>144309</v>
      </c>
      <c r="N2" s="8">
        <v>154528</v>
      </c>
      <c r="O2" s="8">
        <v>77517</v>
      </c>
      <c r="P2" s="8">
        <v>229021</v>
      </c>
      <c r="Q2" s="8">
        <v>183946</v>
      </c>
      <c r="R2" s="8">
        <v>254289</v>
      </c>
      <c r="S2" s="9"/>
      <c r="T2" s="9">
        <v>950750</v>
      </c>
      <c r="U2" s="9">
        <v>128729</v>
      </c>
      <c r="V2" s="9">
        <v>21098</v>
      </c>
      <c r="W2" s="9">
        <v>343177</v>
      </c>
      <c r="X2" s="9">
        <v>151020</v>
      </c>
      <c r="Y2" s="9">
        <v>142269</v>
      </c>
      <c r="Z2" s="10">
        <v>8853</v>
      </c>
      <c r="AA2" s="9">
        <v>160590</v>
      </c>
      <c r="AB2" s="10">
        <v>151001</v>
      </c>
      <c r="AC2" s="10">
        <v>214374</v>
      </c>
      <c r="AD2" s="9">
        <v>202517</v>
      </c>
      <c r="AE2" s="9">
        <v>426493</v>
      </c>
      <c r="AF2" s="11">
        <v>50403</v>
      </c>
      <c r="AG2" s="11">
        <v>57184</v>
      </c>
      <c r="AH2" s="12">
        <f>SUM(D2:AG2)</f>
        <v>5385309</v>
      </c>
    </row>
    <row r="3" ht="14.25" spans="1:34">
      <c r="A3" s="13"/>
      <c r="B3" s="14"/>
      <c r="C3" s="7" t="s">
        <v>36</v>
      </c>
      <c r="D3" s="8">
        <v>5341</v>
      </c>
      <c r="E3" s="8"/>
      <c r="F3" s="8">
        <v>252807</v>
      </c>
      <c r="G3" s="8">
        <v>484164</v>
      </c>
      <c r="H3" s="8">
        <v>698062</v>
      </c>
      <c r="I3" s="8">
        <v>460256</v>
      </c>
      <c r="J3" s="8">
        <v>165896</v>
      </c>
      <c r="K3" s="8">
        <v>91940</v>
      </c>
      <c r="L3" s="8">
        <v>14424</v>
      </c>
      <c r="M3" s="8">
        <v>294681</v>
      </c>
      <c r="N3" s="8">
        <v>352218</v>
      </c>
      <c r="O3" s="8">
        <v>276691</v>
      </c>
      <c r="P3" s="8">
        <v>557939</v>
      </c>
      <c r="Q3" s="8">
        <v>721448</v>
      </c>
      <c r="R3" s="8">
        <v>282787</v>
      </c>
      <c r="S3" s="9">
        <v>97442</v>
      </c>
      <c r="T3" s="9">
        <v>402505</v>
      </c>
      <c r="U3" s="9">
        <v>299164</v>
      </c>
      <c r="V3" s="9">
        <v>754237</v>
      </c>
      <c r="W3" s="9">
        <v>744954</v>
      </c>
      <c r="X3" s="10">
        <v>609503</v>
      </c>
      <c r="Y3" s="10">
        <v>179032</v>
      </c>
      <c r="Z3" s="10">
        <v>70149</v>
      </c>
      <c r="AA3" s="10">
        <v>468658</v>
      </c>
      <c r="AB3" s="10">
        <v>446394</v>
      </c>
      <c r="AC3" s="10">
        <v>506091</v>
      </c>
      <c r="AD3" s="11">
        <v>370333</v>
      </c>
      <c r="AE3" s="11">
        <v>458316</v>
      </c>
      <c r="AF3" s="11">
        <v>199156</v>
      </c>
      <c r="AG3" s="11">
        <v>18186</v>
      </c>
      <c r="AH3" s="12">
        <f>SUM(D3:AG3)</f>
        <v>10282774</v>
      </c>
    </row>
    <row r="4" ht="14.25" spans="1:34">
      <c r="A4" s="13"/>
      <c r="B4" s="14"/>
      <c r="C4" s="7" t="s">
        <v>37</v>
      </c>
      <c r="D4" s="8"/>
      <c r="E4" s="8"/>
      <c r="F4" s="8">
        <v>16896</v>
      </c>
      <c r="G4" s="8"/>
      <c r="H4" s="8"/>
      <c r="I4" s="8">
        <v>103727</v>
      </c>
      <c r="J4" s="8"/>
      <c r="K4" s="8">
        <v>4262</v>
      </c>
      <c r="L4" s="8"/>
      <c r="M4" s="8"/>
      <c r="N4" s="8">
        <v>87812</v>
      </c>
      <c r="O4" s="8">
        <v>13784</v>
      </c>
      <c r="P4" s="8">
        <v>5828</v>
      </c>
      <c r="Q4" s="8"/>
      <c r="R4" s="8">
        <v>52516</v>
      </c>
      <c r="S4" s="9"/>
      <c r="T4" s="9">
        <v>29633</v>
      </c>
      <c r="U4" s="9">
        <v>37182</v>
      </c>
      <c r="V4" s="9">
        <v>15209</v>
      </c>
      <c r="W4" s="9">
        <v>64514</v>
      </c>
      <c r="X4" s="9"/>
      <c r="Y4" s="9"/>
      <c r="Z4" s="9"/>
      <c r="AA4" s="10">
        <v>5904</v>
      </c>
      <c r="AB4" s="9"/>
      <c r="AC4" s="9"/>
      <c r="AD4" s="11">
        <v>167521</v>
      </c>
      <c r="AE4" s="11">
        <v>6994</v>
      </c>
      <c r="AF4" s="9"/>
      <c r="AG4" s="9"/>
      <c r="AH4" s="12">
        <f>SUM(D4:AG4)</f>
        <v>611782</v>
      </c>
    </row>
    <row r="5" ht="14.25" spans="1:34">
      <c r="A5" s="13"/>
      <c r="B5" s="15"/>
      <c r="C5" s="7" t="s">
        <v>38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9"/>
      <c r="T5" s="9"/>
      <c r="U5" s="9"/>
      <c r="V5" s="9"/>
      <c r="W5" s="9"/>
      <c r="X5" s="9"/>
      <c r="Y5" s="9"/>
      <c r="Z5" s="9"/>
      <c r="AA5" s="10"/>
      <c r="AB5" s="10">
        <v>6000</v>
      </c>
      <c r="AC5" s="9"/>
      <c r="AD5" s="9"/>
      <c r="AE5" s="9"/>
      <c r="AF5" s="9"/>
      <c r="AG5" s="9"/>
      <c r="AH5" s="12">
        <f>SUM(D5:AG5)</f>
        <v>6000</v>
      </c>
    </row>
    <row r="6" ht="23.25" spans="1:34">
      <c r="A6" s="13"/>
      <c r="B6" s="16" t="s">
        <v>39</v>
      </c>
      <c r="C6" s="16"/>
      <c r="D6" s="8"/>
      <c r="E6" s="8"/>
      <c r="F6" s="8">
        <v>432958</v>
      </c>
      <c r="G6" s="8">
        <v>38950</v>
      </c>
      <c r="H6" s="8">
        <v>9800</v>
      </c>
      <c r="I6" s="8">
        <v>129332</v>
      </c>
      <c r="J6" s="8">
        <v>4600</v>
      </c>
      <c r="K6" s="8">
        <v>20777</v>
      </c>
      <c r="L6" s="8"/>
      <c r="M6" s="8">
        <v>9455</v>
      </c>
      <c r="N6" s="8">
        <v>68406</v>
      </c>
      <c r="O6" s="8">
        <v>40131</v>
      </c>
      <c r="P6" s="8">
        <v>32000</v>
      </c>
      <c r="Q6" s="8">
        <v>17700</v>
      </c>
      <c r="R6" s="8">
        <v>6042</v>
      </c>
      <c r="S6" s="9"/>
      <c r="T6" s="9">
        <v>71500</v>
      </c>
      <c r="U6" s="9">
        <v>143036</v>
      </c>
      <c r="V6" s="9">
        <v>70204</v>
      </c>
      <c r="W6" s="9">
        <v>25800</v>
      </c>
      <c r="X6" s="10">
        <v>187337</v>
      </c>
      <c r="Y6" s="9">
        <v>95297</v>
      </c>
      <c r="Z6" s="9"/>
      <c r="AA6" s="9">
        <v>69997</v>
      </c>
      <c r="AB6" s="9">
        <v>150202</v>
      </c>
      <c r="AC6" s="9">
        <v>103644</v>
      </c>
      <c r="AD6" s="9">
        <v>122954</v>
      </c>
      <c r="AE6" s="11">
        <v>8152</v>
      </c>
      <c r="AF6" s="9">
        <v>22700</v>
      </c>
      <c r="AG6" s="9"/>
      <c r="AH6" s="12">
        <f t="shared" ref="AH6:AH42" si="0">SUM(D6:AG6)</f>
        <v>1880974</v>
      </c>
    </row>
    <row r="7" ht="23.25" spans="1:34">
      <c r="A7" s="13"/>
      <c r="B7" s="16" t="s">
        <v>40</v>
      </c>
      <c r="C7" s="16"/>
      <c r="D7" s="8"/>
      <c r="E7" s="8"/>
      <c r="F7" s="8">
        <v>46000</v>
      </c>
      <c r="G7" s="8">
        <v>91213</v>
      </c>
      <c r="H7" s="8">
        <v>49660</v>
      </c>
      <c r="I7" s="8">
        <v>183124</v>
      </c>
      <c r="J7" s="8">
        <v>729319</v>
      </c>
      <c r="K7" s="8">
        <v>207383</v>
      </c>
      <c r="L7" s="8"/>
      <c r="M7" s="8">
        <v>86900</v>
      </c>
      <c r="N7" s="8">
        <v>246311</v>
      </c>
      <c r="O7" s="8">
        <v>148150</v>
      </c>
      <c r="P7" s="8">
        <v>97827</v>
      </c>
      <c r="Q7" s="8">
        <v>15640</v>
      </c>
      <c r="R7" s="8">
        <v>23600</v>
      </c>
      <c r="S7" s="9"/>
      <c r="T7" s="9">
        <v>133738</v>
      </c>
      <c r="U7" s="9">
        <v>120200</v>
      </c>
      <c r="V7" s="9">
        <v>156300</v>
      </c>
      <c r="W7" s="9">
        <v>46551</v>
      </c>
      <c r="X7" s="10">
        <v>238750</v>
      </c>
      <c r="Y7" s="9">
        <v>392416</v>
      </c>
      <c r="Z7" s="9"/>
      <c r="AA7" s="9">
        <v>38395</v>
      </c>
      <c r="AB7" s="9">
        <v>22000</v>
      </c>
      <c r="AC7" s="9">
        <v>188060</v>
      </c>
      <c r="AD7" s="9">
        <v>245730</v>
      </c>
      <c r="AE7" s="9">
        <v>105570</v>
      </c>
      <c r="AF7" s="11">
        <v>8000</v>
      </c>
      <c r="AG7" s="9"/>
      <c r="AH7" s="12">
        <f t="shared" si="0"/>
        <v>3620837</v>
      </c>
    </row>
    <row r="8" ht="23.25" spans="1:34">
      <c r="A8" s="13"/>
      <c r="B8" s="16" t="s">
        <v>41</v>
      </c>
      <c r="C8" s="16"/>
      <c r="D8" s="8"/>
      <c r="E8" s="8"/>
      <c r="F8" s="8">
        <v>52782</v>
      </c>
      <c r="G8" s="8">
        <v>1800</v>
      </c>
      <c r="H8" s="8">
        <v>14650</v>
      </c>
      <c r="I8" s="8">
        <v>45161</v>
      </c>
      <c r="J8" s="8">
        <v>54880</v>
      </c>
      <c r="K8" s="8">
        <v>39099</v>
      </c>
      <c r="L8" s="8"/>
      <c r="M8" s="8"/>
      <c r="N8" s="8">
        <v>71790</v>
      </c>
      <c r="O8" s="8">
        <v>22528</v>
      </c>
      <c r="P8" s="8">
        <v>37700</v>
      </c>
      <c r="Q8" s="8">
        <v>14000</v>
      </c>
      <c r="R8" s="8">
        <v>256036</v>
      </c>
      <c r="S8" s="9"/>
      <c r="T8" s="9">
        <v>10150</v>
      </c>
      <c r="U8" s="9"/>
      <c r="V8" s="9">
        <v>31111</v>
      </c>
      <c r="W8" s="9">
        <v>15110</v>
      </c>
      <c r="X8" s="9">
        <v>25657</v>
      </c>
      <c r="Y8" s="9">
        <v>248790</v>
      </c>
      <c r="Z8" s="9">
        <v>32313</v>
      </c>
      <c r="AA8" s="9">
        <v>69508</v>
      </c>
      <c r="AB8" s="9">
        <v>778</v>
      </c>
      <c r="AC8" s="9">
        <v>79900</v>
      </c>
      <c r="AD8" s="9"/>
      <c r="AE8" s="9">
        <v>61250</v>
      </c>
      <c r="AF8" s="9"/>
      <c r="AG8" s="9">
        <v>54859</v>
      </c>
      <c r="AH8" s="12">
        <f t="shared" si="0"/>
        <v>1239852</v>
      </c>
    </row>
    <row r="9" ht="23.25" spans="1:34">
      <c r="A9" s="13"/>
      <c r="B9" s="16" t="s">
        <v>42</v>
      </c>
      <c r="C9" s="16"/>
      <c r="D9" s="8"/>
      <c r="E9" s="8"/>
      <c r="F9" s="8">
        <v>389900</v>
      </c>
      <c r="G9" s="8">
        <v>120800</v>
      </c>
      <c r="H9" s="8">
        <v>151650</v>
      </c>
      <c r="I9" s="8">
        <v>430850</v>
      </c>
      <c r="J9" s="8">
        <v>529471</v>
      </c>
      <c r="K9" s="8">
        <v>20200</v>
      </c>
      <c r="L9" s="8"/>
      <c r="M9" s="8">
        <v>92600</v>
      </c>
      <c r="N9" s="8">
        <v>421895</v>
      </c>
      <c r="O9" s="8">
        <v>613720</v>
      </c>
      <c r="P9" s="8">
        <v>224979</v>
      </c>
      <c r="Q9" s="8">
        <v>320560</v>
      </c>
      <c r="R9" s="8">
        <v>35450</v>
      </c>
      <c r="S9" s="9">
        <v>19900</v>
      </c>
      <c r="T9" s="9">
        <v>188250</v>
      </c>
      <c r="U9" s="9">
        <v>246800</v>
      </c>
      <c r="V9" s="9">
        <v>321141</v>
      </c>
      <c r="W9" s="9">
        <v>439000</v>
      </c>
      <c r="X9" s="10">
        <v>514900</v>
      </c>
      <c r="Y9" s="9">
        <v>184900</v>
      </c>
      <c r="Z9" s="9">
        <v>104600</v>
      </c>
      <c r="AA9" s="9">
        <v>346990</v>
      </c>
      <c r="AB9" s="9">
        <v>79500</v>
      </c>
      <c r="AC9" s="9">
        <v>549275</v>
      </c>
      <c r="AD9" s="9">
        <v>310500</v>
      </c>
      <c r="AE9" s="9">
        <v>447828</v>
      </c>
      <c r="AF9" s="9">
        <v>295300</v>
      </c>
      <c r="AG9" s="9"/>
      <c r="AH9" s="12">
        <f t="shared" si="0"/>
        <v>7400959</v>
      </c>
    </row>
    <row r="10" ht="23.25" spans="1:34">
      <c r="A10" s="17"/>
      <c r="B10" s="18" t="s">
        <v>43</v>
      </c>
      <c r="C10" s="18"/>
      <c r="D10" s="19">
        <f t="shared" ref="D10:AG10" si="1">SUM(D2:D9)</f>
        <v>5341</v>
      </c>
      <c r="E10" s="19">
        <f t="shared" si="1"/>
        <v>0</v>
      </c>
      <c r="F10" s="19">
        <f t="shared" si="1"/>
        <v>1521728</v>
      </c>
      <c r="G10" s="19">
        <f t="shared" si="1"/>
        <v>926071</v>
      </c>
      <c r="H10" s="19">
        <f t="shared" si="1"/>
        <v>991862</v>
      </c>
      <c r="I10" s="19">
        <f t="shared" si="1"/>
        <v>1648069</v>
      </c>
      <c r="J10" s="19">
        <f t="shared" si="1"/>
        <v>1795758</v>
      </c>
      <c r="K10" s="19">
        <f t="shared" si="1"/>
        <v>522122</v>
      </c>
      <c r="L10" s="19">
        <f t="shared" si="1"/>
        <v>14424</v>
      </c>
      <c r="M10" s="19">
        <f t="shared" si="1"/>
        <v>627945</v>
      </c>
      <c r="N10" s="19">
        <f t="shared" si="1"/>
        <v>1402960</v>
      </c>
      <c r="O10" s="19">
        <f t="shared" si="1"/>
        <v>1192521</v>
      </c>
      <c r="P10" s="19">
        <f t="shared" si="1"/>
        <v>1185294</v>
      </c>
      <c r="Q10" s="19">
        <f t="shared" si="1"/>
        <v>1273294</v>
      </c>
      <c r="R10" s="19">
        <f t="shared" si="1"/>
        <v>910720</v>
      </c>
      <c r="S10" s="20">
        <f t="shared" si="1"/>
        <v>117342</v>
      </c>
      <c r="T10" s="20">
        <f t="shared" si="1"/>
        <v>1786526</v>
      </c>
      <c r="U10" s="20">
        <f t="shared" si="1"/>
        <v>975111</v>
      </c>
      <c r="V10" s="20">
        <f t="shared" si="1"/>
        <v>1369300</v>
      </c>
      <c r="W10" s="20">
        <f t="shared" si="1"/>
        <v>1679106</v>
      </c>
      <c r="X10" s="20">
        <f t="shared" si="1"/>
        <v>1727167</v>
      </c>
      <c r="Y10" s="20">
        <f t="shared" si="1"/>
        <v>1242704</v>
      </c>
      <c r="Z10" s="20">
        <f t="shared" si="1"/>
        <v>215915</v>
      </c>
      <c r="AA10" s="20">
        <f t="shared" si="1"/>
        <v>1160042</v>
      </c>
      <c r="AB10" s="20">
        <f t="shared" si="1"/>
        <v>855875</v>
      </c>
      <c r="AC10" s="20">
        <f t="shared" si="1"/>
        <v>1641344</v>
      </c>
      <c r="AD10" s="20">
        <f t="shared" si="1"/>
        <v>1419555</v>
      </c>
      <c r="AE10" s="20">
        <f t="shared" si="1"/>
        <v>1514603</v>
      </c>
      <c r="AF10" s="20">
        <f t="shared" si="1"/>
        <v>575559</v>
      </c>
      <c r="AG10" s="20">
        <f t="shared" si="1"/>
        <v>130229</v>
      </c>
      <c r="AH10" s="12">
        <f t="shared" si="0"/>
        <v>30428487</v>
      </c>
    </row>
    <row r="11" ht="14.25" spans="1:34">
      <c r="A11" s="21" t="s">
        <v>44</v>
      </c>
      <c r="B11" s="16" t="s">
        <v>34</v>
      </c>
      <c r="C11" s="7" t="s">
        <v>35</v>
      </c>
      <c r="D11" s="8">
        <v>22442</v>
      </c>
      <c r="E11" s="8"/>
      <c r="F11" s="8">
        <v>33368</v>
      </c>
      <c r="G11" s="8">
        <v>38920</v>
      </c>
      <c r="H11" s="8">
        <v>2900</v>
      </c>
      <c r="I11" s="8">
        <v>74109</v>
      </c>
      <c r="J11" s="8">
        <v>81671</v>
      </c>
      <c r="K11" s="8">
        <v>6986</v>
      </c>
      <c r="L11" s="8"/>
      <c r="M11" s="8">
        <v>3307</v>
      </c>
      <c r="N11" s="8"/>
      <c r="O11" s="8"/>
      <c r="P11" s="8">
        <v>384804</v>
      </c>
      <c r="Q11" s="8">
        <v>23529</v>
      </c>
      <c r="R11" s="8"/>
      <c r="S11" s="9"/>
      <c r="T11" s="9">
        <v>73338</v>
      </c>
      <c r="U11" s="9">
        <v>47408</v>
      </c>
      <c r="V11" s="9">
        <v>46965</v>
      </c>
      <c r="W11" s="9">
        <v>79601</v>
      </c>
      <c r="X11" s="9">
        <v>94544</v>
      </c>
      <c r="Y11" s="9"/>
      <c r="Z11" s="9"/>
      <c r="AA11" s="10">
        <v>16800</v>
      </c>
      <c r="AB11" s="10">
        <v>52130</v>
      </c>
      <c r="AC11" s="9">
        <v>8579</v>
      </c>
      <c r="AD11" s="9">
        <v>77426</v>
      </c>
      <c r="AE11" s="9">
        <v>34972</v>
      </c>
      <c r="AF11" s="11">
        <v>2800</v>
      </c>
      <c r="AG11" s="11">
        <v>19877</v>
      </c>
      <c r="AH11" s="12">
        <f t="shared" si="0"/>
        <v>1226476</v>
      </c>
    </row>
    <row r="12" ht="14.25" spans="1:34">
      <c r="A12" s="21"/>
      <c r="B12" s="16"/>
      <c r="C12" s="7" t="s">
        <v>36</v>
      </c>
      <c r="D12" s="8">
        <v>134225</v>
      </c>
      <c r="E12" s="8"/>
      <c r="F12" s="8">
        <v>28761</v>
      </c>
      <c r="G12" s="8">
        <v>215529</v>
      </c>
      <c r="H12" s="8">
        <v>137649</v>
      </c>
      <c r="I12" s="8">
        <v>207345</v>
      </c>
      <c r="J12" s="8">
        <v>110253</v>
      </c>
      <c r="K12" s="8"/>
      <c r="L12" s="8"/>
      <c r="M12" s="8">
        <v>47678</v>
      </c>
      <c r="N12" s="8">
        <v>20518</v>
      </c>
      <c r="O12" s="8">
        <v>11360</v>
      </c>
      <c r="P12" s="8">
        <v>43482</v>
      </c>
      <c r="Q12" s="8">
        <v>45507</v>
      </c>
      <c r="R12" s="8"/>
      <c r="S12" s="9">
        <v>4645</v>
      </c>
      <c r="T12" s="9">
        <v>39887</v>
      </c>
      <c r="U12" s="9">
        <v>134254</v>
      </c>
      <c r="V12" s="9">
        <v>277277</v>
      </c>
      <c r="W12" s="9">
        <v>51579</v>
      </c>
      <c r="X12" s="10">
        <v>15336</v>
      </c>
      <c r="Y12" s="10">
        <v>26847</v>
      </c>
      <c r="Z12" s="9"/>
      <c r="AA12" s="10">
        <v>69664</v>
      </c>
      <c r="AB12" s="10">
        <v>16110</v>
      </c>
      <c r="AC12" s="10">
        <v>104076</v>
      </c>
      <c r="AD12" s="11">
        <v>111497</v>
      </c>
      <c r="AE12" s="11">
        <v>87353</v>
      </c>
      <c r="AF12" s="9"/>
      <c r="AG12" s="11">
        <v>21456</v>
      </c>
      <c r="AH12" s="12">
        <f t="shared" si="0"/>
        <v>1962288</v>
      </c>
    </row>
    <row r="13" ht="14.25" spans="1:34">
      <c r="A13" s="21"/>
      <c r="B13" s="16"/>
      <c r="C13" s="7" t="s">
        <v>37</v>
      </c>
      <c r="D13" s="8"/>
      <c r="E13" s="8"/>
      <c r="F13" s="8">
        <v>4955</v>
      </c>
      <c r="G13" s="8">
        <v>12258</v>
      </c>
      <c r="H13" s="8">
        <v>926</v>
      </c>
      <c r="I13" s="8">
        <v>111410</v>
      </c>
      <c r="J13" s="8">
        <v>216691</v>
      </c>
      <c r="K13" s="8"/>
      <c r="L13" s="8"/>
      <c r="M13" s="8">
        <v>655</v>
      </c>
      <c r="N13" s="8">
        <v>7356</v>
      </c>
      <c r="O13" s="8">
        <v>171</v>
      </c>
      <c r="P13" s="8">
        <v>1344</v>
      </c>
      <c r="Q13" s="8">
        <v>61403</v>
      </c>
      <c r="R13" s="8"/>
      <c r="S13" s="9"/>
      <c r="T13" s="9"/>
      <c r="U13" s="9"/>
      <c r="V13" s="9">
        <v>49509</v>
      </c>
      <c r="W13" s="9">
        <v>62980</v>
      </c>
      <c r="X13" s="9"/>
      <c r="Y13" s="9"/>
      <c r="Z13" s="9"/>
      <c r="AA13" s="9"/>
      <c r="AB13" s="10">
        <v>230</v>
      </c>
      <c r="AC13" s="9"/>
      <c r="AD13" s="11">
        <v>368755</v>
      </c>
      <c r="AE13" s="9"/>
      <c r="AF13" s="9"/>
      <c r="AG13" s="9"/>
      <c r="AH13" s="12">
        <f t="shared" si="0"/>
        <v>898643</v>
      </c>
    </row>
    <row r="14" ht="14.25" spans="1:34">
      <c r="A14" s="21"/>
      <c r="B14" s="16" t="s">
        <v>39</v>
      </c>
      <c r="C14" s="16"/>
      <c r="D14" s="8">
        <v>87722</v>
      </c>
      <c r="E14" s="8"/>
      <c r="F14" s="8"/>
      <c r="G14" s="8">
        <v>23300</v>
      </c>
      <c r="H14" s="8">
        <v>8650</v>
      </c>
      <c r="I14" s="8">
        <v>24550</v>
      </c>
      <c r="J14" s="8">
        <v>54245</v>
      </c>
      <c r="K14" s="8"/>
      <c r="L14" s="8"/>
      <c r="M14" s="8">
        <v>179990</v>
      </c>
      <c r="N14" s="8">
        <v>83764</v>
      </c>
      <c r="O14" s="8"/>
      <c r="P14" s="8"/>
      <c r="Q14" s="8"/>
      <c r="R14" s="8"/>
      <c r="S14" s="9"/>
      <c r="T14" s="9">
        <v>3650</v>
      </c>
      <c r="U14" s="9">
        <v>5320</v>
      </c>
      <c r="V14" s="9">
        <v>336603</v>
      </c>
      <c r="W14" s="9">
        <v>12000</v>
      </c>
      <c r="X14" s="10">
        <v>10550</v>
      </c>
      <c r="Y14" s="9"/>
      <c r="Z14" s="9"/>
      <c r="AA14" s="9">
        <v>24966</v>
      </c>
      <c r="AB14" s="9"/>
      <c r="AC14" s="9">
        <v>66484</v>
      </c>
      <c r="AD14" s="9">
        <v>88280</v>
      </c>
      <c r="AE14" s="9">
        <v>65897</v>
      </c>
      <c r="AF14" s="9"/>
      <c r="AG14" s="11">
        <v>13400</v>
      </c>
      <c r="AH14" s="12">
        <f t="shared" si="0"/>
        <v>1089371</v>
      </c>
    </row>
    <row r="15" ht="14.25" spans="1:34">
      <c r="A15" s="21"/>
      <c r="B15" s="16" t="s">
        <v>40</v>
      </c>
      <c r="C15" s="16"/>
      <c r="D15" s="8"/>
      <c r="E15" s="8"/>
      <c r="F15" s="8">
        <v>5000</v>
      </c>
      <c r="G15" s="8">
        <v>7950</v>
      </c>
      <c r="H15" s="8">
        <v>14428</v>
      </c>
      <c r="I15" s="8">
        <v>403642</v>
      </c>
      <c r="J15" s="8">
        <v>182168</v>
      </c>
      <c r="K15" s="8"/>
      <c r="L15" s="8"/>
      <c r="M15" s="8">
        <v>28283</v>
      </c>
      <c r="N15" s="8">
        <v>17449</v>
      </c>
      <c r="O15" s="8">
        <v>107852</v>
      </c>
      <c r="P15" s="8">
        <v>21660</v>
      </c>
      <c r="Q15" s="8">
        <v>147711</v>
      </c>
      <c r="R15" s="8"/>
      <c r="S15" s="9"/>
      <c r="T15" s="9">
        <v>417651</v>
      </c>
      <c r="U15" s="9"/>
      <c r="V15" s="9">
        <v>75993</v>
      </c>
      <c r="W15" s="9">
        <v>30730</v>
      </c>
      <c r="X15" s="9"/>
      <c r="Y15" s="9"/>
      <c r="Z15" s="9"/>
      <c r="AA15" s="10">
        <v>38500</v>
      </c>
      <c r="AB15" s="9"/>
      <c r="AC15" s="9">
        <v>55750</v>
      </c>
      <c r="AD15" s="9">
        <v>208503</v>
      </c>
      <c r="AE15" s="9">
        <v>179100</v>
      </c>
      <c r="AF15" s="9"/>
      <c r="AG15" s="9"/>
      <c r="AH15" s="12">
        <f t="shared" si="0"/>
        <v>1942370</v>
      </c>
    </row>
    <row r="16" ht="14.25" spans="1:34">
      <c r="A16" s="21"/>
      <c r="B16" s="16" t="s">
        <v>41</v>
      </c>
      <c r="C16" s="16"/>
      <c r="D16" s="8">
        <v>2250</v>
      </c>
      <c r="E16" s="8"/>
      <c r="F16" s="8">
        <v>92250</v>
      </c>
      <c r="G16" s="8">
        <v>94900</v>
      </c>
      <c r="H16" s="8">
        <v>44610</v>
      </c>
      <c r="I16" s="8">
        <v>158280</v>
      </c>
      <c r="J16" s="8">
        <v>101650</v>
      </c>
      <c r="K16" s="8"/>
      <c r="L16" s="8"/>
      <c r="M16" s="8">
        <v>46150</v>
      </c>
      <c r="N16" s="8">
        <v>84499</v>
      </c>
      <c r="O16" s="8">
        <v>126750</v>
      </c>
      <c r="P16" s="8">
        <v>80250</v>
      </c>
      <c r="Q16" s="8">
        <v>18150</v>
      </c>
      <c r="R16" s="8"/>
      <c r="S16" s="9"/>
      <c r="T16" s="9"/>
      <c r="U16" s="9">
        <v>103950</v>
      </c>
      <c r="V16" s="9">
        <v>273394</v>
      </c>
      <c r="W16" s="9">
        <v>61612</v>
      </c>
      <c r="X16" s="10">
        <v>16850</v>
      </c>
      <c r="Y16" s="10">
        <v>17000</v>
      </c>
      <c r="Z16" s="9"/>
      <c r="AA16" s="10">
        <v>259260</v>
      </c>
      <c r="AB16" s="9">
        <v>112350</v>
      </c>
      <c r="AC16" s="9">
        <v>128710</v>
      </c>
      <c r="AD16" s="9">
        <v>61940</v>
      </c>
      <c r="AE16" s="9">
        <v>50400</v>
      </c>
      <c r="AF16" s="11">
        <v>1300</v>
      </c>
      <c r="AG16" s="9">
        <v>35150</v>
      </c>
      <c r="AH16" s="12">
        <f t="shared" si="0"/>
        <v>1971655</v>
      </c>
    </row>
    <row r="17" ht="14.25" spans="1:34">
      <c r="A17" s="21"/>
      <c r="B17" s="16" t="s">
        <v>42</v>
      </c>
      <c r="C17" s="16"/>
      <c r="D17" s="8">
        <v>200950</v>
      </c>
      <c r="E17" s="8"/>
      <c r="F17" s="8">
        <v>67200</v>
      </c>
      <c r="G17" s="8">
        <v>49100</v>
      </c>
      <c r="H17" s="8">
        <v>35050</v>
      </c>
      <c r="I17" s="8">
        <v>265000</v>
      </c>
      <c r="J17" s="8">
        <v>342310</v>
      </c>
      <c r="K17" s="8">
        <v>8600</v>
      </c>
      <c r="L17" s="8"/>
      <c r="M17" s="8">
        <v>164400</v>
      </c>
      <c r="N17" s="8">
        <v>216350</v>
      </c>
      <c r="O17" s="8">
        <v>164350</v>
      </c>
      <c r="P17" s="8">
        <v>157050</v>
      </c>
      <c r="Q17" s="8">
        <v>120600</v>
      </c>
      <c r="R17" s="8">
        <v>41250</v>
      </c>
      <c r="S17" s="9"/>
      <c r="T17" s="9">
        <v>353900</v>
      </c>
      <c r="U17" s="9">
        <v>41250</v>
      </c>
      <c r="V17" s="9">
        <v>337000</v>
      </c>
      <c r="W17" s="9">
        <v>570200</v>
      </c>
      <c r="X17" s="9">
        <v>99000</v>
      </c>
      <c r="Y17" s="9">
        <v>30250</v>
      </c>
      <c r="Z17" s="9"/>
      <c r="AA17" s="9">
        <v>51950</v>
      </c>
      <c r="AB17" s="10">
        <v>800</v>
      </c>
      <c r="AC17" s="9">
        <v>27800</v>
      </c>
      <c r="AD17" s="11">
        <v>964750</v>
      </c>
      <c r="AE17" s="9">
        <v>29400</v>
      </c>
      <c r="AF17" s="9">
        <v>5100</v>
      </c>
      <c r="AG17" s="9">
        <v>103700</v>
      </c>
      <c r="AH17" s="12">
        <f t="shared" si="0"/>
        <v>4447310</v>
      </c>
    </row>
    <row r="18" ht="15" spans="1:34">
      <c r="A18" s="21"/>
      <c r="B18" s="18" t="s">
        <v>43</v>
      </c>
      <c r="C18" s="18"/>
      <c r="D18" s="19">
        <f t="shared" ref="D18:AG18" si="2">SUM(D11:D17)</f>
        <v>447589</v>
      </c>
      <c r="E18" s="19">
        <f t="shared" si="2"/>
        <v>0</v>
      </c>
      <c r="F18" s="19">
        <f t="shared" si="2"/>
        <v>231534</v>
      </c>
      <c r="G18" s="19">
        <f t="shared" si="2"/>
        <v>441957</v>
      </c>
      <c r="H18" s="19">
        <f t="shared" si="2"/>
        <v>244213</v>
      </c>
      <c r="I18" s="19">
        <f t="shared" si="2"/>
        <v>1244336</v>
      </c>
      <c r="J18" s="19">
        <f t="shared" si="2"/>
        <v>1088988</v>
      </c>
      <c r="K18" s="19">
        <f t="shared" si="2"/>
        <v>15586</v>
      </c>
      <c r="L18" s="19">
        <f t="shared" si="2"/>
        <v>0</v>
      </c>
      <c r="M18" s="19">
        <f t="shared" si="2"/>
        <v>470463</v>
      </c>
      <c r="N18" s="19">
        <f t="shared" si="2"/>
        <v>429936</v>
      </c>
      <c r="O18" s="19">
        <f t="shared" si="2"/>
        <v>410483</v>
      </c>
      <c r="P18" s="19">
        <f t="shared" si="2"/>
        <v>688590</v>
      </c>
      <c r="Q18" s="19">
        <f t="shared" si="2"/>
        <v>416900</v>
      </c>
      <c r="R18" s="19">
        <f t="shared" si="2"/>
        <v>41250</v>
      </c>
      <c r="S18" s="20">
        <f t="shared" si="2"/>
        <v>4645</v>
      </c>
      <c r="T18" s="20">
        <f t="shared" si="2"/>
        <v>888426</v>
      </c>
      <c r="U18" s="20">
        <f t="shared" si="2"/>
        <v>332182</v>
      </c>
      <c r="V18" s="20">
        <f t="shared" si="2"/>
        <v>1396741</v>
      </c>
      <c r="W18" s="20">
        <f t="shared" si="2"/>
        <v>868702</v>
      </c>
      <c r="X18" s="20">
        <f t="shared" si="2"/>
        <v>236280</v>
      </c>
      <c r="Y18" s="20">
        <f t="shared" si="2"/>
        <v>74097</v>
      </c>
      <c r="Z18" s="20">
        <f t="shared" si="2"/>
        <v>0</v>
      </c>
      <c r="AA18" s="20">
        <f t="shared" si="2"/>
        <v>461140</v>
      </c>
      <c r="AB18" s="20">
        <f t="shared" si="2"/>
        <v>181620</v>
      </c>
      <c r="AC18" s="20">
        <f t="shared" si="2"/>
        <v>391399</v>
      </c>
      <c r="AD18" s="20">
        <f t="shared" si="2"/>
        <v>1881151</v>
      </c>
      <c r="AE18" s="20">
        <f t="shared" si="2"/>
        <v>447122</v>
      </c>
      <c r="AF18" s="20">
        <f t="shared" si="2"/>
        <v>9200</v>
      </c>
      <c r="AG18" s="20">
        <f t="shared" si="2"/>
        <v>193583</v>
      </c>
      <c r="AH18" s="12">
        <f t="shared" si="0"/>
        <v>13538113</v>
      </c>
    </row>
    <row r="19" ht="14.25" spans="1:34">
      <c r="A19" s="21" t="s">
        <v>45</v>
      </c>
      <c r="B19" s="16" t="s">
        <v>34</v>
      </c>
      <c r="C19" s="7" t="s">
        <v>35</v>
      </c>
      <c r="D19" s="8"/>
      <c r="E19" s="8"/>
      <c r="F19" s="8"/>
      <c r="G19" s="8"/>
      <c r="H19" s="8">
        <v>55000</v>
      </c>
      <c r="I19" s="8"/>
      <c r="J19" s="8">
        <v>19782</v>
      </c>
      <c r="K19" s="8"/>
      <c r="L19" s="8"/>
      <c r="M19" s="8"/>
      <c r="N19" s="8"/>
      <c r="O19" s="8"/>
      <c r="P19" s="8"/>
      <c r="Q19" s="8"/>
      <c r="R19" s="8">
        <v>169978</v>
      </c>
      <c r="S19" s="9"/>
      <c r="T19" s="9"/>
      <c r="U19" s="9"/>
      <c r="V19" s="9">
        <v>8700</v>
      </c>
      <c r="W19" s="9">
        <v>122069</v>
      </c>
      <c r="X19" s="10">
        <v>4698</v>
      </c>
      <c r="Y19" s="10">
        <v>40490</v>
      </c>
      <c r="Z19" s="9"/>
      <c r="AA19" s="10">
        <v>465200</v>
      </c>
      <c r="AB19" s="10">
        <v>66200</v>
      </c>
      <c r="AC19" s="10">
        <v>13870</v>
      </c>
      <c r="AD19" s="9"/>
      <c r="AE19" s="11">
        <v>226331</v>
      </c>
      <c r="AF19" s="9"/>
      <c r="AG19" s="9"/>
      <c r="AH19" s="12">
        <f t="shared" si="0"/>
        <v>1192318</v>
      </c>
    </row>
    <row r="20" ht="14.25" spans="1:34">
      <c r="A20" s="21"/>
      <c r="B20" s="16"/>
      <c r="C20" s="7" t="s">
        <v>36</v>
      </c>
      <c r="D20" s="8"/>
      <c r="E20" s="8"/>
      <c r="F20" s="8"/>
      <c r="G20" s="8"/>
      <c r="H20" s="8">
        <v>53594</v>
      </c>
      <c r="I20" s="8"/>
      <c r="J20" s="8">
        <v>42800</v>
      </c>
      <c r="K20" s="8"/>
      <c r="L20" s="8"/>
      <c r="M20" s="8"/>
      <c r="N20" s="8"/>
      <c r="O20" s="8">
        <v>20807</v>
      </c>
      <c r="P20" s="8">
        <v>78349</v>
      </c>
      <c r="Q20" s="8"/>
      <c r="R20" s="8"/>
      <c r="S20" s="9"/>
      <c r="T20" s="9"/>
      <c r="U20" s="9">
        <v>177813</v>
      </c>
      <c r="V20" s="9">
        <v>9473</v>
      </c>
      <c r="W20" s="9"/>
      <c r="X20" s="9"/>
      <c r="Y20" s="10">
        <v>12012</v>
      </c>
      <c r="Z20" s="9"/>
      <c r="AA20" s="10">
        <v>56197</v>
      </c>
      <c r="AB20" s="9"/>
      <c r="AC20" s="10">
        <v>46094</v>
      </c>
      <c r="AD20" s="9"/>
      <c r="AE20" s="11">
        <v>35728</v>
      </c>
      <c r="AF20" s="11">
        <v>50493</v>
      </c>
      <c r="AG20" s="9"/>
      <c r="AH20" s="12">
        <f t="shared" si="0"/>
        <v>583360</v>
      </c>
    </row>
    <row r="21" ht="14.25" spans="1:34">
      <c r="A21" s="21"/>
      <c r="B21" s="16"/>
      <c r="C21" s="7" t="s">
        <v>37</v>
      </c>
      <c r="D21" s="8"/>
      <c r="E21" s="8"/>
      <c r="F21" s="8"/>
      <c r="G21" s="8"/>
      <c r="H21" s="8">
        <v>8450</v>
      </c>
      <c r="I21" s="8"/>
      <c r="J21" s="8"/>
      <c r="K21" s="8"/>
      <c r="L21" s="8"/>
      <c r="M21" s="8"/>
      <c r="N21" s="8"/>
      <c r="O21" s="8"/>
      <c r="P21" s="8"/>
      <c r="Q21" s="8"/>
      <c r="R21" s="8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12">
        <f t="shared" si="0"/>
        <v>8450</v>
      </c>
    </row>
    <row r="22" ht="14.25" spans="1:34">
      <c r="A22" s="21"/>
      <c r="B22" s="16" t="s">
        <v>39</v>
      </c>
      <c r="C22" s="16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12">
        <f t="shared" si="0"/>
        <v>0</v>
      </c>
    </row>
    <row r="23" ht="14.25" spans="1:34">
      <c r="A23" s="21"/>
      <c r="B23" s="16" t="s">
        <v>40</v>
      </c>
      <c r="C23" s="16"/>
      <c r="D23" s="8"/>
      <c r="E23" s="8"/>
      <c r="F23" s="8"/>
      <c r="G23" s="8"/>
      <c r="H23" s="8">
        <v>45500</v>
      </c>
      <c r="I23" s="8"/>
      <c r="J23" s="8"/>
      <c r="K23" s="8"/>
      <c r="L23" s="8"/>
      <c r="M23" s="8"/>
      <c r="N23" s="8"/>
      <c r="O23" s="8"/>
      <c r="P23" s="8"/>
      <c r="Q23" s="8"/>
      <c r="R23" s="8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12">
        <f t="shared" si="0"/>
        <v>45500</v>
      </c>
    </row>
    <row r="24" ht="14.25" spans="1:34">
      <c r="A24" s="21"/>
      <c r="B24" s="16" t="s">
        <v>41</v>
      </c>
      <c r="C24" s="16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12">
        <f t="shared" si="0"/>
        <v>0</v>
      </c>
    </row>
    <row r="25" ht="14.25" spans="1:34">
      <c r="A25" s="21"/>
      <c r="B25" s="16" t="s">
        <v>42</v>
      </c>
      <c r="C25" s="16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12">
        <f t="shared" si="0"/>
        <v>0</v>
      </c>
    </row>
    <row r="26" ht="15" spans="1:34">
      <c r="A26" s="21"/>
      <c r="B26" s="18" t="s">
        <v>43</v>
      </c>
      <c r="C26" s="18"/>
      <c r="D26" s="19">
        <f t="shared" ref="D26:AG26" si="3">SUM(D19:D25)</f>
        <v>0</v>
      </c>
      <c r="E26" s="19">
        <f t="shared" si="3"/>
        <v>0</v>
      </c>
      <c r="F26" s="19">
        <f t="shared" si="3"/>
        <v>0</v>
      </c>
      <c r="G26" s="19">
        <f t="shared" si="3"/>
        <v>0</v>
      </c>
      <c r="H26" s="19">
        <f t="shared" si="3"/>
        <v>162544</v>
      </c>
      <c r="I26" s="19">
        <f t="shared" si="3"/>
        <v>0</v>
      </c>
      <c r="J26" s="19">
        <f t="shared" si="3"/>
        <v>62582</v>
      </c>
      <c r="K26" s="19">
        <f t="shared" si="3"/>
        <v>0</v>
      </c>
      <c r="L26" s="19">
        <f t="shared" si="3"/>
        <v>0</v>
      </c>
      <c r="M26" s="19">
        <f t="shared" si="3"/>
        <v>0</v>
      </c>
      <c r="N26" s="19">
        <f t="shared" si="3"/>
        <v>0</v>
      </c>
      <c r="O26" s="19">
        <f t="shared" si="3"/>
        <v>20807</v>
      </c>
      <c r="P26" s="19">
        <f t="shared" si="3"/>
        <v>78349</v>
      </c>
      <c r="Q26" s="19">
        <f t="shared" si="3"/>
        <v>0</v>
      </c>
      <c r="R26" s="19">
        <f t="shared" si="3"/>
        <v>169978</v>
      </c>
      <c r="S26" s="20">
        <f t="shared" si="3"/>
        <v>0</v>
      </c>
      <c r="T26" s="20">
        <f t="shared" si="3"/>
        <v>0</v>
      </c>
      <c r="U26" s="20">
        <f t="shared" si="3"/>
        <v>177813</v>
      </c>
      <c r="V26" s="20">
        <f t="shared" si="3"/>
        <v>18173</v>
      </c>
      <c r="W26" s="20">
        <f t="shared" si="3"/>
        <v>122069</v>
      </c>
      <c r="X26" s="20">
        <f t="shared" si="3"/>
        <v>4698</v>
      </c>
      <c r="Y26" s="20">
        <f t="shared" si="3"/>
        <v>52502</v>
      </c>
      <c r="Z26" s="20">
        <f t="shared" si="3"/>
        <v>0</v>
      </c>
      <c r="AA26" s="20">
        <f t="shared" si="3"/>
        <v>521397</v>
      </c>
      <c r="AB26" s="20">
        <f t="shared" si="3"/>
        <v>66200</v>
      </c>
      <c r="AC26" s="20">
        <f t="shared" si="3"/>
        <v>59964</v>
      </c>
      <c r="AD26" s="20">
        <f t="shared" si="3"/>
        <v>0</v>
      </c>
      <c r="AE26" s="20">
        <f t="shared" si="3"/>
        <v>262059</v>
      </c>
      <c r="AF26" s="20">
        <f t="shared" si="3"/>
        <v>50493</v>
      </c>
      <c r="AG26" s="20">
        <f t="shared" si="3"/>
        <v>0</v>
      </c>
      <c r="AH26" s="12">
        <f t="shared" si="0"/>
        <v>1829628</v>
      </c>
    </row>
    <row r="27" ht="14.25" spans="1:34">
      <c r="A27" s="21" t="s">
        <v>46</v>
      </c>
      <c r="B27" s="16" t="s">
        <v>34</v>
      </c>
      <c r="C27" s="7" t="s">
        <v>35</v>
      </c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12">
        <f t="shared" si="0"/>
        <v>0</v>
      </c>
    </row>
    <row r="28" ht="14.25" spans="1:34">
      <c r="A28" s="21"/>
      <c r="B28" s="16"/>
      <c r="C28" s="7" t="s">
        <v>36</v>
      </c>
      <c r="D28" s="8"/>
      <c r="E28" s="8"/>
      <c r="F28" s="8">
        <v>7627</v>
      </c>
      <c r="G28" s="8"/>
      <c r="H28" s="8">
        <v>2436</v>
      </c>
      <c r="I28" s="8">
        <v>24020</v>
      </c>
      <c r="J28" s="8">
        <v>49533</v>
      </c>
      <c r="K28" s="8"/>
      <c r="L28" s="8"/>
      <c r="M28" s="8">
        <v>174552</v>
      </c>
      <c r="N28" s="8">
        <v>75179</v>
      </c>
      <c r="O28" s="8">
        <v>128520</v>
      </c>
      <c r="P28" s="8">
        <v>86650</v>
      </c>
      <c r="Q28" s="8">
        <v>63613</v>
      </c>
      <c r="R28" s="8"/>
      <c r="S28" s="9"/>
      <c r="T28" s="9">
        <v>71828</v>
      </c>
      <c r="U28" s="9"/>
      <c r="V28" s="9">
        <v>126799</v>
      </c>
      <c r="W28" s="9">
        <v>117064</v>
      </c>
      <c r="X28" s="10">
        <v>114742</v>
      </c>
      <c r="Y28" s="9"/>
      <c r="Z28" s="9"/>
      <c r="AA28" s="10">
        <v>90239</v>
      </c>
      <c r="AB28" s="10">
        <v>27566</v>
      </c>
      <c r="AC28" s="9"/>
      <c r="AD28" s="11">
        <v>129177</v>
      </c>
      <c r="AE28" s="11">
        <v>13654</v>
      </c>
      <c r="AF28" s="9"/>
      <c r="AG28" s="11">
        <v>15870</v>
      </c>
      <c r="AH28" s="12">
        <f t="shared" si="0"/>
        <v>1319069</v>
      </c>
    </row>
    <row r="29" ht="14.25" spans="1:34">
      <c r="A29" s="21"/>
      <c r="B29" s="16"/>
      <c r="C29" s="7" t="s">
        <v>37</v>
      </c>
      <c r="D29" s="8"/>
      <c r="E29" s="8"/>
      <c r="F29" s="8"/>
      <c r="G29" s="8"/>
      <c r="H29" s="8"/>
      <c r="I29" s="8">
        <v>3860</v>
      </c>
      <c r="J29" s="8">
        <v>69300</v>
      </c>
      <c r="K29" s="8"/>
      <c r="L29" s="8"/>
      <c r="M29" s="8">
        <v>15513</v>
      </c>
      <c r="N29" s="8"/>
      <c r="O29" s="8"/>
      <c r="P29" s="8"/>
      <c r="Q29" s="8"/>
      <c r="R29" s="8"/>
      <c r="S29" s="9"/>
      <c r="T29" s="9"/>
      <c r="U29" s="9"/>
      <c r="V29" s="9"/>
      <c r="W29" s="9"/>
      <c r="X29" s="10">
        <v>12273</v>
      </c>
      <c r="Y29" s="9"/>
      <c r="Z29" s="9"/>
      <c r="AA29" s="9"/>
      <c r="AB29" s="9"/>
      <c r="AC29" s="9"/>
      <c r="AD29" s="9"/>
      <c r="AE29" s="9"/>
      <c r="AF29" s="9"/>
      <c r="AG29" s="9"/>
      <c r="AH29" s="12">
        <f t="shared" si="0"/>
        <v>100946</v>
      </c>
    </row>
    <row r="30" ht="14.25" spans="1:34">
      <c r="A30" s="21"/>
      <c r="B30" s="16" t="s">
        <v>39</v>
      </c>
      <c r="C30" s="16"/>
      <c r="D30" s="8"/>
      <c r="E30" s="8"/>
      <c r="F30" s="8"/>
      <c r="G30" s="8"/>
      <c r="H30" s="8"/>
      <c r="I30" s="8"/>
      <c r="J30" s="8">
        <v>6800</v>
      </c>
      <c r="K30" s="8"/>
      <c r="L30" s="8"/>
      <c r="M30" s="8"/>
      <c r="N30" s="8"/>
      <c r="O30" s="8"/>
      <c r="P30" s="8"/>
      <c r="Q30" s="8"/>
      <c r="R30" s="8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12">
        <f t="shared" si="0"/>
        <v>6800</v>
      </c>
    </row>
    <row r="31" ht="14.25" spans="1:34">
      <c r="A31" s="21"/>
      <c r="B31" s="16" t="s">
        <v>40</v>
      </c>
      <c r="C31" s="16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12">
        <f t="shared" si="0"/>
        <v>0</v>
      </c>
    </row>
    <row r="32" ht="14.25" spans="1:34">
      <c r="A32" s="21"/>
      <c r="B32" s="16" t="s">
        <v>41</v>
      </c>
      <c r="C32" s="16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12">
        <f t="shared" si="0"/>
        <v>0</v>
      </c>
    </row>
    <row r="33" ht="14.25" spans="1:34">
      <c r="A33" s="21"/>
      <c r="B33" s="16" t="s">
        <v>42</v>
      </c>
      <c r="C33" s="16"/>
      <c r="D33" s="8"/>
      <c r="E33" s="8"/>
      <c r="F33" s="8"/>
      <c r="G33" s="8"/>
      <c r="H33" s="8"/>
      <c r="I33" s="8"/>
      <c r="J33" s="8">
        <v>4300</v>
      </c>
      <c r="K33" s="8"/>
      <c r="L33" s="8"/>
      <c r="M33" s="8"/>
      <c r="N33" s="8"/>
      <c r="O33" s="8">
        <v>44400</v>
      </c>
      <c r="P33" s="8"/>
      <c r="Q33" s="8">
        <v>41650</v>
      </c>
      <c r="R33" s="8"/>
      <c r="S33" s="9"/>
      <c r="T33" s="9"/>
      <c r="U33" s="9"/>
      <c r="V33" s="9">
        <v>69050</v>
      </c>
      <c r="W33" s="9">
        <v>42950</v>
      </c>
      <c r="X33" s="9"/>
      <c r="Y33" s="9"/>
      <c r="Z33" s="9"/>
      <c r="AA33" s="9"/>
      <c r="AB33" s="9"/>
      <c r="AC33" s="9"/>
      <c r="AD33" s="9"/>
      <c r="AE33" s="11">
        <v>90350</v>
      </c>
      <c r="AF33" s="9"/>
      <c r="AG33" s="9"/>
      <c r="AH33" s="12">
        <f t="shared" si="0"/>
        <v>292700</v>
      </c>
    </row>
    <row r="34" ht="15" spans="1:34">
      <c r="A34" s="21"/>
      <c r="B34" s="18" t="s">
        <v>43</v>
      </c>
      <c r="C34" s="18"/>
      <c r="D34" s="19">
        <f t="shared" ref="D34:AG34" si="4">SUM(D27:D33)</f>
        <v>0</v>
      </c>
      <c r="E34" s="19">
        <f t="shared" si="4"/>
        <v>0</v>
      </c>
      <c r="F34" s="19">
        <f t="shared" si="4"/>
        <v>7627</v>
      </c>
      <c r="G34" s="19">
        <f t="shared" si="4"/>
        <v>0</v>
      </c>
      <c r="H34" s="19">
        <f t="shared" si="4"/>
        <v>2436</v>
      </c>
      <c r="I34" s="19">
        <f t="shared" si="4"/>
        <v>27880</v>
      </c>
      <c r="J34" s="19">
        <f t="shared" si="4"/>
        <v>129933</v>
      </c>
      <c r="K34" s="19">
        <f t="shared" si="4"/>
        <v>0</v>
      </c>
      <c r="L34" s="19">
        <f t="shared" si="4"/>
        <v>0</v>
      </c>
      <c r="M34" s="19">
        <f t="shared" si="4"/>
        <v>190065</v>
      </c>
      <c r="N34" s="19">
        <f t="shared" si="4"/>
        <v>75179</v>
      </c>
      <c r="O34" s="19">
        <f t="shared" si="4"/>
        <v>172920</v>
      </c>
      <c r="P34" s="19">
        <f t="shared" si="4"/>
        <v>86650</v>
      </c>
      <c r="Q34" s="19">
        <f t="shared" si="4"/>
        <v>105263</v>
      </c>
      <c r="R34" s="19">
        <f t="shared" si="4"/>
        <v>0</v>
      </c>
      <c r="S34" s="20">
        <f t="shared" si="4"/>
        <v>0</v>
      </c>
      <c r="T34" s="20">
        <f t="shared" si="4"/>
        <v>71828</v>
      </c>
      <c r="U34" s="20">
        <f t="shared" si="4"/>
        <v>0</v>
      </c>
      <c r="V34" s="20">
        <f t="shared" si="4"/>
        <v>195849</v>
      </c>
      <c r="W34" s="20">
        <f t="shared" si="4"/>
        <v>160014</v>
      </c>
      <c r="X34" s="20">
        <f t="shared" si="4"/>
        <v>127015</v>
      </c>
      <c r="Y34" s="20">
        <f t="shared" si="4"/>
        <v>0</v>
      </c>
      <c r="Z34" s="20">
        <f t="shared" si="4"/>
        <v>0</v>
      </c>
      <c r="AA34" s="20">
        <f t="shared" si="4"/>
        <v>90239</v>
      </c>
      <c r="AB34" s="20">
        <f t="shared" si="4"/>
        <v>27566</v>
      </c>
      <c r="AC34" s="20">
        <f t="shared" si="4"/>
        <v>0</v>
      </c>
      <c r="AD34" s="20">
        <f t="shared" si="4"/>
        <v>129177</v>
      </c>
      <c r="AE34" s="20">
        <f t="shared" si="4"/>
        <v>104004</v>
      </c>
      <c r="AF34" s="20">
        <f t="shared" si="4"/>
        <v>0</v>
      </c>
      <c r="AG34" s="20">
        <f t="shared" si="4"/>
        <v>15870</v>
      </c>
      <c r="AH34" s="12">
        <f t="shared" si="0"/>
        <v>1719515</v>
      </c>
    </row>
    <row r="35" ht="14.25" spans="1:34">
      <c r="A35" s="21" t="s">
        <v>47</v>
      </c>
      <c r="B35" s="16" t="s">
        <v>34</v>
      </c>
      <c r="C35" s="7" t="s">
        <v>35</v>
      </c>
      <c r="D35" s="8"/>
      <c r="E35" s="8"/>
      <c r="F35" s="8">
        <v>127273</v>
      </c>
      <c r="G35" s="8">
        <v>63542</v>
      </c>
      <c r="H35" s="8"/>
      <c r="I35" s="8"/>
      <c r="J35" s="8"/>
      <c r="K35" s="8">
        <v>127417</v>
      </c>
      <c r="L35" s="8"/>
      <c r="M35" s="8">
        <v>13336</v>
      </c>
      <c r="N35" s="8">
        <v>27593</v>
      </c>
      <c r="O35" s="8"/>
      <c r="P35" s="8">
        <v>27037</v>
      </c>
      <c r="Q35" s="8"/>
      <c r="R35" s="8">
        <v>17385</v>
      </c>
      <c r="S35" s="9">
        <v>123130</v>
      </c>
      <c r="T35" s="9">
        <v>1137</v>
      </c>
      <c r="U35" s="9">
        <v>9240</v>
      </c>
      <c r="V35" s="9">
        <v>74443</v>
      </c>
      <c r="W35" s="9">
        <v>9532</v>
      </c>
      <c r="X35" s="9"/>
      <c r="Y35" s="9"/>
      <c r="Z35" s="10">
        <v>60882</v>
      </c>
      <c r="AA35" s="10">
        <v>13046</v>
      </c>
      <c r="AB35" s="10">
        <v>75214</v>
      </c>
      <c r="AC35" s="9"/>
      <c r="AD35" s="11">
        <v>24019</v>
      </c>
      <c r="AE35" s="9"/>
      <c r="AF35" s="9"/>
      <c r="AG35" s="11">
        <v>4869</v>
      </c>
      <c r="AH35" s="12">
        <f t="shared" si="0"/>
        <v>799095</v>
      </c>
    </row>
    <row r="36" ht="14.25" spans="1:34">
      <c r="A36" s="21"/>
      <c r="B36" s="16"/>
      <c r="C36" s="7" t="s">
        <v>36</v>
      </c>
      <c r="D36" s="8"/>
      <c r="E36" s="8"/>
      <c r="F36" s="8">
        <v>48264</v>
      </c>
      <c r="G36" s="8">
        <v>272872</v>
      </c>
      <c r="H36" s="8">
        <v>161333</v>
      </c>
      <c r="I36" s="8">
        <v>22732</v>
      </c>
      <c r="J36" s="8">
        <v>36865</v>
      </c>
      <c r="K36" s="8">
        <v>7131</v>
      </c>
      <c r="L36" s="8">
        <v>21335</v>
      </c>
      <c r="M36" s="8">
        <v>32176</v>
      </c>
      <c r="N36" s="8">
        <v>59602</v>
      </c>
      <c r="O36" s="8">
        <v>160795</v>
      </c>
      <c r="P36" s="8">
        <v>178464</v>
      </c>
      <c r="Q36" s="8">
        <v>29327</v>
      </c>
      <c r="R36" s="8">
        <v>68702</v>
      </c>
      <c r="S36" s="9">
        <v>134977</v>
      </c>
      <c r="T36" s="9">
        <v>303403</v>
      </c>
      <c r="U36" s="9">
        <v>278883</v>
      </c>
      <c r="V36" s="9">
        <v>32592</v>
      </c>
      <c r="W36" s="9">
        <v>134130</v>
      </c>
      <c r="X36" s="10">
        <v>30853</v>
      </c>
      <c r="Y36" s="9"/>
      <c r="Z36" s="10">
        <v>220761</v>
      </c>
      <c r="AA36" s="10">
        <v>45909</v>
      </c>
      <c r="AB36" s="10">
        <v>186479</v>
      </c>
      <c r="AC36" s="10">
        <v>58478</v>
      </c>
      <c r="AD36" s="11">
        <v>67491</v>
      </c>
      <c r="AE36" s="11">
        <v>14219</v>
      </c>
      <c r="AF36" s="11">
        <v>58549</v>
      </c>
      <c r="AG36" s="11">
        <v>163846</v>
      </c>
      <c r="AH36" s="12">
        <f t="shared" si="0"/>
        <v>2830168</v>
      </c>
    </row>
    <row r="37" ht="14.25" spans="1:34">
      <c r="A37" s="21"/>
      <c r="B37" s="16"/>
      <c r="C37" s="7" t="s">
        <v>37</v>
      </c>
      <c r="D37" s="8"/>
      <c r="E37" s="8"/>
      <c r="F37" s="8">
        <v>3904</v>
      </c>
      <c r="G37" s="8">
        <v>12614</v>
      </c>
      <c r="H37" s="8"/>
      <c r="I37" s="8"/>
      <c r="J37" s="8"/>
      <c r="K37" s="8">
        <v>17732</v>
      </c>
      <c r="L37" s="8">
        <v>7441</v>
      </c>
      <c r="M37" s="8">
        <v>4689</v>
      </c>
      <c r="N37" s="8">
        <v>23182</v>
      </c>
      <c r="O37" s="8"/>
      <c r="P37" s="8">
        <v>40515</v>
      </c>
      <c r="Q37" s="8">
        <v>10571</v>
      </c>
      <c r="R37" s="8">
        <v>135729</v>
      </c>
      <c r="S37" s="9">
        <v>7682</v>
      </c>
      <c r="T37" s="9">
        <v>114788</v>
      </c>
      <c r="U37" s="9">
        <v>29508</v>
      </c>
      <c r="V37" s="9">
        <v>172106</v>
      </c>
      <c r="W37" s="9"/>
      <c r="X37" s="9"/>
      <c r="Y37" s="10">
        <v>47112</v>
      </c>
      <c r="Z37" s="10">
        <v>64190</v>
      </c>
      <c r="AA37" s="10">
        <v>8786</v>
      </c>
      <c r="AB37" s="10">
        <v>27606</v>
      </c>
      <c r="AC37" s="10">
        <v>22961</v>
      </c>
      <c r="AD37" s="11">
        <v>69007</v>
      </c>
      <c r="AE37" s="9"/>
      <c r="AF37" s="11">
        <v>59580</v>
      </c>
      <c r="AG37" s="11">
        <v>58555</v>
      </c>
      <c r="AH37" s="12">
        <f t="shared" si="0"/>
        <v>938258</v>
      </c>
    </row>
    <row r="38" ht="14.25" spans="1:34">
      <c r="A38" s="21"/>
      <c r="B38" s="16" t="s">
        <v>39</v>
      </c>
      <c r="C38" s="16"/>
      <c r="D38" s="8"/>
      <c r="E38" s="8"/>
      <c r="F38" s="8"/>
      <c r="G38" s="8">
        <v>7350</v>
      </c>
      <c r="H38" s="8"/>
      <c r="I38" s="8">
        <v>21230</v>
      </c>
      <c r="J38" s="8"/>
      <c r="K38" s="8"/>
      <c r="L38" s="8">
        <v>6687</v>
      </c>
      <c r="M38" s="8">
        <v>8600</v>
      </c>
      <c r="N38" s="8"/>
      <c r="O38" s="8">
        <v>43439</v>
      </c>
      <c r="P38" s="8">
        <v>14971</v>
      </c>
      <c r="Q38" s="8"/>
      <c r="R38" s="8">
        <v>10292</v>
      </c>
      <c r="S38" s="9">
        <v>49896</v>
      </c>
      <c r="T38" s="9"/>
      <c r="U38" s="9"/>
      <c r="V38" s="9">
        <v>57845</v>
      </c>
      <c r="W38" s="9"/>
      <c r="X38" s="10">
        <v>15550</v>
      </c>
      <c r="Y38" s="9">
        <v>51414</v>
      </c>
      <c r="Z38" s="10">
        <v>41114</v>
      </c>
      <c r="AA38" s="9">
        <v>27189</v>
      </c>
      <c r="AB38" s="10">
        <v>24000</v>
      </c>
      <c r="AC38" s="9"/>
      <c r="AD38" s="9"/>
      <c r="AE38" s="11">
        <v>20331</v>
      </c>
      <c r="AF38" s="9"/>
      <c r="AG38" s="11">
        <v>19846</v>
      </c>
      <c r="AH38" s="12">
        <f t="shared" si="0"/>
        <v>419754</v>
      </c>
    </row>
    <row r="39" ht="14.25" spans="1:34">
      <c r="A39" s="21"/>
      <c r="B39" s="16" t="s">
        <v>40</v>
      </c>
      <c r="C39" s="16"/>
      <c r="D39" s="8"/>
      <c r="E39" s="8"/>
      <c r="F39" s="8">
        <v>83357</v>
      </c>
      <c r="G39" s="8">
        <v>33700</v>
      </c>
      <c r="H39" s="8"/>
      <c r="I39" s="8">
        <v>5200</v>
      </c>
      <c r="J39" s="8"/>
      <c r="K39" s="8"/>
      <c r="L39" s="8">
        <v>11000</v>
      </c>
      <c r="M39" s="8">
        <v>20000</v>
      </c>
      <c r="N39" s="8"/>
      <c r="O39" s="8">
        <v>167150</v>
      </c>
      <c r="P39" s="8"/>
      <c r="Q39" s="8"/>
      <c r="R39" s="8">
        <v>20600</v>
      </c>
      <c r="S39" s="9">
        <v>23682</v>
      </c>
      <c r="T39" s="9"/>
      <c r="U39" s="9"/>
      <c r="V39" s="9">
        <v>189338</v>
      </c>
      <c r="W39" s="9"/>
      <c r="X39" s="9"/>
      <c r="Y39" s="9">
        <v>2060</v>
      </c>
      <c r="Z39" s="9"/>
      <c r="AA39" s="10">
        <v>1030</v>
      </c>
      <c r="AB39" s="9">
        <v>103000</v>
      </c>
      <c r="AC39" s="9">
        <v>113799</v>
      </c>
      <c r="AD39" s="9"/>
      <c r="AE39" s="9"/>
      <c r="AF39" s="9"/>
      <c r="AG39" s="9">
        <v>49779</v>
      </c>
      <c r="AH39" s="12">
        <f t="shared" si="0"/>
        <v>823695</v>
      </c>
    </row>
    <row r="40" ht="14.25" spans="1:34">
      <c r="A40" s="21"/>
      <c r="B40" s="16" t="s">
        <v>41</v>
      </c>
      <c r="C40" s="16"/>
      <c r="D40" s="8"/>
      <c r="E40" s="8"/>
      <c r="F40" s="8">
        <v>18150</v>
      </c>
      <c r="G40" s="8">
        <v>105857</v>
      </c>
      <c r="H40" s="8">
        <v>45706</v>
      </c>
      <c r="I40" s="8"/>
      <c r="J40" s="8"/>
      <c r="K40" s="8">
        <v>6750</v>
      </c>
      <c r="L40" s="8">
        <v>14936</v>
      </c>
      <c r="M40" s="8"/>
      <c r="N40" s="8">
        <v>25565</v>
      </c>
      <c r="O40" s="8"/>
      <c r="P40" s="8">
        <v>25750</v>
      </c>
      <c r="Q40" s="8"/>
      <c r="R40" s="8">
        <v>9150</v>
      </c>
      <c r="S40" s="9">
        <v>17100</v>
      </c>
      <c r="T40" s="9"/>
      <c r="U40" s="9">
        <v>10900</v>
      </c>
      <c r="V40" s="9">
        <v>22950</v>
      </c>
      <c r="W40" s="9"/>
      <c r="X40" s="9"/>
      <c r="Y40" s="10">
        <v>41118</v>
      </c>
      <c r="Z40" s="9">
        <v>47800</v>
      </c>
      <c r="AA40" s="9">
        <v>36043</v>
      </c>
      <c r="AB40" s="10">
        <v>3434</v>
      </c>
      <c r="AC40" s="9"/>
      <c r="AD40" s="11">
        <v>21100</v>
      </c>
      <c r="AE40" s="9"/>
      <c r="AF40" s="9"/>
      <c r="AG40" s="11">
        <v>34200</v>
      </c>
      <c r="AH40" s="12">
        <f t="shared" si="0"/>
        <v>486509</v>
      </c>
    </row>
    <row r="41" ht="14.25" spans="1:34">
      <c r="A41" s="21"/>
      <c r="B41" s="16" t="s">
        <v>42</v>
      </c>
      <c r="C41" s="16"/>
      <c r="D41" s="8"/>
      <c r="E41" s="8"/>
      <c r="F41" s="8">
        <v>26650</v>
      </c>
      <c r="G41" s="8">
        <v>546625</v>
      </c>
      <c r="H41" s="8">
        <v>38500</v>
      </c>
      <c r="I41" s="8">
        <v>122850</v>
      </c>
      <c r="J41" s="8"/>
      <c r="K41" s="8">
        <v>112075</v>
      </c>
      <c r="L41" s="8">
        <v>191449</v>
      </c>
      <c r="M41" s="8">
        <v>18300</v>
      </c>
      <c r="N41" s="8">
        <v>120440</v>
      </c>
      <c r="O41" s="8">
        <v>124229</v>
      </c>
      <c r="P41" s="8">
        <v>52400</v>
      </c>
      <c r="Q41" s="8">
        <v>200300</v>
      </c>
      <c r="R41" s="8">
        <v>10450</v>
      </c>
      <c r="S41" s="9">
        <v>2182399</v>
      </c>
      <c r="T41" s="9">
        <v>241150</v>
      </c>
      <c r="U41" s="9">
        <v>165735</v>
      </c>
      <c r="V41" s="9">
        <v>117800</v>
      </c>
      <c r="W41" s="9">
        <v>44799</v>
      </c>
      <c r="X41" s="10">
        <v>26300</v>
      </c>
      <c r="Y41" s="9">
        <v>143014</v>
      </c>
      <c r="Z41" s="9">
        <v>111664</v>
      </c>
      <c r="AA41" s="9">
        <v>171294</v>
      </c>
      <c r="AB41" s="9">
        <v>99640</v>
      </c>
      <c r="AC41" s="9">
        <v>182950</v>
      </c>
      <c r="AD41" s="9">
        <v>128300</v>
      </c>
      <c r="AE41" s="9">
        <v>35000</v>
      </c>
      <c r="AF41" s="9">
        <v>41750</v>
      </c>
      <c r="AG41" s="9">
        <v>470705</v>
      </c>
      <c r="AH41" s="12">
        <f t="shared" si="0"/>
        <v>5726768</v>
      </c>
    </row>
    <row r="42" ht="14.25" spans="1:34">
      <c r="A42" s="21"/>
      <c r="B42" s="16" t="s">
        <v>48</v>
      </c>
      <c r="C42" s="16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9"/>
      <c r="T42" s="9"/>
      <c r="U42" s="9"/>
      <c r="V42" s="9"/>
      <c r="W42" s="9"/>
      <c r="X42" s="22">
        <v>22386</v>
      </c>
      <c r="Y42" s="9"/>
      <c r="Z42" s="22">
        <v>22386</v>
      </c>
      <c r="AA42" s="9"/>
      <c r="AB42" s="10"/>
      <c r="AC42" s="9"/>
      <c r="AD42" s="9"/>
      <c r="AE42" s="9"/>
      <c r="AF42" s="9"/>
      <c r="AG42" s="9"/>
      <c r="AH42" s="12">
        <f t="shared" si="0"/>
        <v>44772</v>
      </c>
    </row>
    <row r="43" ht="15" spans="1:34">
      <c r="A43" s="21"/>
      <c r="B43" s="18" t="s">
        <v>43</v>
      </c>
      <c r="C43" s="18"/>
      <c r="D43" s="19">
        <f t="shared" ref="D43:W43" si="5">SUM(D35:D41)</f>
        <v>0</v>
      </c>
      <c r="E43" s="19">
        <f t="shared" si="5"/>
        <v>0</v>
      </c>
      <c r="F43" s="19">
        <f t="shared" si="5"/>
        <v>307598</v>
      </c>
      <c r="G43" s="19">
        <f t="shared" si="5"/>
        <v>1042560</v>
      </c>
      <c r="H43" s="19">
        <f t="shared" si="5"/>
        <v>245539</v>
      </c>
      <c r="I43" s="19">
        <f t="shared" si="5"/>
        <v>172012</v>
      </c>
      <c r="J43" s="19">
        <f t="shared" si="5"/>
        <v>36865</v>
      </c>
      <c r="K43" s="19">
        <f t="shared" si="5"/>
        <v>271105</v>
      </c>
      <c r="L43" s="19">
        <f t="shared" si="5"/>
        <v>252848</v>
      </c>
      <c r="M43" s="19">
        <f t="shared" si="5"/>
        <v>97101</v>
      </c>
      <c r="N43" s="19">
        <f t="shared" si="5"/>
        <v>256382</v>
      </c>
      <c r="O43" s="19">
        <f t="shared" si="5"/>
        <v>495613</v>
      </c>
      <c r="P43" s="19">
        <f t="shared" si="5"/>
        <v>339137</v>
      </c>
      <c r="Q43" s="19">
        <f t="shared" si="5"/>
        <v>240198</v>
      </c>
      <c r="R43" s="19">
        <f t="shared" si="5"/>
        <v>272308</v>
      </c>
      <c r="S43" s="20">
        <f t="shared" si="5"/>
        <v>2538866</v>
      </c>
      <c r="T43" s="20">
        <f t="shared" si="5"/>
        <v>660478</v>
      </c>
      <c r="U43" s="20">
        <f t="shared" si="5"/>
        <v>494266</v>
      </c>
      <c r="V43" s="20">
        <f t="shared" si="5"/>
        <v>667074</v>
      </c>
      <c r="W43" s="20">
        <f t="shared" si="5"/>
        <v>188461</v>
      </c>
      <c r="X43" s="20">
        <f t="shared" ref="X43:AH43" si="6">SUM(X35:X42)</f>
        <v>95089</v>
      </c>
      <c r="Y43" s="20">
        <f t="shared" si="6"/>
        <v>284718</v>
      </c>
      <c r="Z43" s="20">
        <f t="shared" si="6"/>
        <v>568797</v>
      </c>
      <c r="AA43" s="20">
        <f t="shared" si="6"/>
        <v>303297</v>
      </c>
      <c r="AB43" s="20">
        <f t="shared" si="6"/>
        <v>519373</v>
      </c>
      <c r="AC43" s="20">
        <f t="shared" si="6"/>
        <v>378188</v>
      </c>
      <c r="AD43" s="20">
        <f t="shared" si="6"/>
        <v>309917</v>
      </c>
      <c r="AE43" s="20">
        <f t="shared" si="6"/>
        <v>69550</v>
      </c>
      <c r="AF43" s="20">
        <f t="shared" si="6"/>
        <v>159879</v>
      </c>
      <c r="AG43" s="20">
        <f t="shared" si="6"/>
        <v>801800</v>
      </c>
      <c r="AH43" s="23">
        <f t="shared" si="6"/>
        <v>12069019</v>
      </c>
    </row>
    <row r="44" ht="14.25" spans="1:34">
      <c r="A44" s="21" t="s">
        <v>49</v>
      </c>
      <c r="B44" s="16" t="s">
        <v>34</v>
      </c>
      <c r="C44" s="7" t="s">
        <v>35</v>
      </c>
      <c r="D44" s="8"/>
      <c r="E44" s="8"/>
      <c r="F44" s="8">
        <v>9901</v>
      </c>
      <c r="G44" s="8"/>
      <c r="H44" s="8">
        <v>18849</v>
      </c>
      <c r="I44" s="8">
        <v>8458</v>
      </c>
      <c r="J44" s="8">
        <v>33405</v>
      </c>
      <c r="K44" s="8">
        <v>10630</v>
      </c>
      <c r="L44" s="8"/>
      <c r="M44" s="8">
        <v>44279</v>
      </c>
      <c r="N44" s="8">
        <v>455</v>
      </c>
      <c r="O44" s="8">
        <v>36264</v>
      </c>
      <c r="P44" s="8">
        <v>21475</v>
      </c>
      <c r="Q44" s="8">
        <v>5923</v>
      </c>
      <c r="R44" s="8"/>
      <c r="S44" s="9"/>
      <c r="T44" s="9">
        <v>4708</v>
      </c>
      <c r="U44" s="9">
        <v>4168</v>
      </c>
      <c r="V44" s="9">
        <v>9000</v>
      </c>
      <c r="W44" s="9">
        <v>10720</v>
      </c>
      <c r="X44" s="10">
        <v>125</v>
      </c>
      <c r="Y44" s="10">
        <v>35525</v>
      </c>
      <c r="Z44" s="9"/>
      <c r="AA44" s="9">
        <v>14105</v>
      </c>
      <c r="AB44" s="10">
        <v>12487</v>
      </c>
      <c r="AC44" s="10">
        <v>14573</v>
      </c>
      <c r="AD44" s="11">
        <v>1720</v>
      </c>
      <c r="AE44" s="11">
        <v>3380</v>
      </c>
      <c r="AF44" s="9"/>
      <c r="AG44" s="9"/>
      <c r="AH44" s="12">
        <f t="shared" ref="AH44:AH51" si="7">SUM(D44:AG44)</f>
        <v>300150</v>
      </c>
    </row>
    <row r="45" ht="14.25" spans="1:34">
      <c r="A45" s="21"/>
      <c r="B45" s="16"/>
      <c r="C45" s="7" t="s">
        <v>36</v>
      </c>
      <c r="D45" s="8"/>
      <c r="E45" s="8"/>
      <c r="F45" s="8">
        <v>70452</v>
      </c>
      <c r="G45" s="8">
        <v>5986</v>
      </c>
      <c r="H45" s="8">
        <v>90316</v>
      </c>
      <c r="I45" s="8">
        <v>103972</v>
      </c>
      <c r="J45" s="8">
        <v>43299</v>
      </c>
      <c r="K45" s="8">
        <v>39697</v>
      </c>
      <c r="L45" s="8"/>
      <c r="M45" s="8">
        <v>129388</v>
      </c>
      <c r="N45" s="8">
        <v>81184</v>
      </c>
      <c r="O45" s="8">
        <v>2450</v>
      </c>
      <c r="P45" s="8">
        <v>576</v>
      </c>
      <c r="Q45" s="8">
        <v>102885</v>
      </c>
      <c r="R45" s="8">
        <v>121840</v>
      </c>
      <c r="S45" s="9"/>
      <c r="T45" s="9">
        <v>172320</v>
      </c>
      <c r="U45" s="9">
        <v>88222</v>
      </c>
      <c r="V45" s="9">
        <v>38239</v>
      </c>
      <c r="W45" s="9">
        <v>4394</v>
      </c>
      <c r="X45" s="10">
        <v>196455</v>
      </c>
      <c r="Y45" s="10">
        <v>22601</v>
      </c>
      <c r="Z45" s="9"/>
      <c r="AA45" s="10">
        <v>10724</v>
      </c>
      <c r="AB45" s="10">
        <v>41094</v>
      </c>
      <c r="AC45" s="10">
        <v>3456</v>
      </c>
      <c r="AD45" s="11">
        <v>83855</v>
      </c>
      <c r="AE45" s="11">
        <v>60524</v>
      </c>
      <c r="AF45" s="11">
        <v>33913</v>
      </c>
      <c r="AG45" s="9"/>
      <c r="AH45" s="12">
        <f t="shared" si="7"/>
        <v>1547842</v>
      </c>
    </row>
    <row r="46" ht="14.25" spans="1:34">
      <c r="A46" s="21"/>
      <c r="B46" s="16"/>
      <c r="C46" s="7" t="s">
        <v>37</v>
      </c>
      <c r="D46" s="8"/>
      <c r="E46" s="8"/>
      <c r="F46" s="8">
        <v>184143</v>
      </c>
      <c r="G46" s="8"/>
      <c r="H46" s="8"/>
      <c r="I46" s="8">
        <v>176535</v>
      </c>
      <c r="J46" s="8">
        <v>195673</v>
      </c>
      <c r="K46" s="8">
        <v>133039</v>
      </c>
      <c r="L46" s="8"/>
      <c r="M46" s="8">
        <v>170488</v>
      </c>
      <c r="N46" s="8">
        <v>55020</v>
      </c>
      <c r="O46" s="8"/>
      <c r="P46" s="8">
        <v>60863</v>
      </c>
      <c r="Q46" s="8">
        <v>169610</v>
      </c>
      <c r="R46" s="8">
        <v>149032</v>
      </c>
      <c r="S46" s="9"/>
      <c r="T46" s="9"/>
      <c r="U46" s="9"/>
      <c r="V46" s="9"/>
      <c r="W46" s="9"/>
      <c r="X46" s="10">
        <v>419084</v>
      </c>
      <c r="Y46" s="9"/>
      <c r="Z46" s="9"/>
      <c r="AA46" s="10">
        <v>5183</v>
      </c>
      <c r="AB46" s="10">
        <v>59652</v>
      </c>
      <c r="AC46" s="10">
        <v>52645</v>
      </c>
      <c r="AD46" s="11">
        <v>24722</v>
      </c>
      <c r="AE46" s="9"/>
      <c r="AF46" s="9"/>
      <c r="AG46" s="9"/>
      <c r="AH46" s="12">
        <f t="shared" si="7"/>
        <v>1855689</v>
      </c>
    </row>
    <row r="47" ht="14.25" spans="1:34">
      <c r="A47" s="21"/>
      <c r="B47" s="16" t="s">
        <v>39</v>
      </c>
      <c r="C47" s="16"/>
      <c r="D47" s="8"/>
      <c r="E47" s="8"/>
      <c r="F47" s="8">
        <v>13200</v>
      </c>
      <c r="G47" s="8"/>
      <c r="H47" s="8"/>
      <c r="I47" s="8"/>
      <c r="J47" s="8"/>
      <c r="K47" s="8">
        <v>29000</v>
      </c>
      <c r="L47" s="8"/>
      <c r="M47" s="8"/>
      <c r="N47" s="8">
        <v>19050</v>
      </c>
      <c r="O47" s="8"/>
      <c r="P47" s="8"/>
      <c r="Q47" s="8"/>
      <c r="R47" s="8"/>
      <c r="S47" s="9"/>
      <c r="T47" s="9"/>
      <c r="U47" s="9"/>
      <c r="V47" s="9">
        <v>35750</v>
      </c>
      <c r="W47" s="9"/>
      <c r="X47" s="9"/>
      <c r="Y47" s="9"/>
      <c r="Z47" s="9"/>
      <c r="AA47" s="9"/>
      <c r="AB47" s="10">
        <v>50750</v>
      </c>
      <c r="AC47" s="9"/>
      <c r="AD47" s="9"/>
      <c r="AE47" s="9"/>
      <c r="AF47" s="9"/>
      <c r="AG47" s="9"/>
      <c r="AH47" s="12">
        <f t="shared" si="7"/>
        <v>147750</v>
      </c>
    </row>
    <row r="48" ht="14.25" spans="1:34">
      <c r="A48" s="21"/>
      <c r="B48" s="16" t="s">
        <v>40</v>
      </c>
      <c r="C48" s="16"/>
      <c r="D48" s="8">
        <v>115500</v>
      </c>
      <c r="E48" s="8"/>
      <c r="F48" s="8">
        <v>81100</v>
      </c>
      <c r="G48" s="8">
        <v>7000</v>
      </c>
      <c r="H48" s="8">
        <v>295000</v>
      </c>
      <c r="I48" s="8">
        <v>6800</v>
      </c>
      <c r="J48" s="8">
        <v>59300</v>
      </c>
      <c r="K48" s="8">
        <v>171500</v>
      </c>
      <c r="L48" s="8"/>
      <c r="M48" s="8">
        <v>186085</v>
      </c>
      <c r="N48" s="8">
        <v>336900</v>
      </c>
      <c r="O48" s="8"/>
      <c r="P48" s="8">
        <v>94789</v>
      </c>
      <c r="Q48" s="8"/>
      <c r="R48" s="8">
        <v>205250</v>
      </c>
      <c r="S48" s="9"/>
      <c r="T48" s="9"/>
      <c r="U48" s="9">
        <v>136513</v>
      </c>
      <c r="V48" s="9">
        <v>74450</v>
      </c>
      <c r="W48" s="9"/>
      <c r="X48" s="9">
        <v>265550</v>
      </c>
      <c r="Y48" s="10">
        <v>52600</v>
      </c>
      <c r="Z48" s="9"/>
      <c r="AA48" s="9"/>
      <c r="AB48" s="9">
        <v>136750</v>
      </c>
      <c r="AC48" s="9"/>
      <c r="AD48" s="9"/>
      <c r="AE48" s="9"/>
      <c r="AF48" s="9"/>
      <c r="AG48" s="9"/>
      <c r="AH48" s="12">
        <f t="shared" si="7"/>
        <v>2225087</v>
      </c>
    </row>
    <row r="49" ht="14.25" spans="1:34">
      <c r="A49" s="21"/>
      <c r="B49" s="16" t="s">
        <v>41</v>
      </c>
      <c r="C49" s="16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12">
        <f t="shared" si="7"/>
        <v>0</v>
      </c>
    </row>
    <row r="50" ht="14.25" spans="1:34">
      <c r="A50" s="21"/>
      <c r="B50" s="16" t="s">
        <v>42</v>
      </c>
      <c r="C50" s="16"/>
      <c r="D50" s="8"/>
      <c r="E50" s="8"/>
      <c r="F50" s="8">
        <v>50200</v>
      </c>
      <c r="G50" s="8"/>
      <c r="H50" s="8">
        <v>24550</v>
      </c>
      <c r="I50" s="8">
        <v>168250</v>
      </c>
      <c r="J50" s="8">
        <v>49050</v>
      </c>
      <c r="K50" s="8">
        <v>181850</v>
      </c>
      <c r="L50" s="8"/>
      <c r="M50" s="8">
        <v>101150</v>
      </c>
      <c r="N50" s="8">
        <v>203150</v>
      </c>
      <c r="O50" s="8"/>
      <c r="P50" s="8">
        <v>100100</v>
      </c>
      <c r="Q50" s="8">
        <v>5300</v>
      </c>
      <c r="R50" s="8">
        <v>287200</v>
      </c>
      <c r="S50" s="9"/>
      <c r="T50" s="9"/>
      <c r="U50" s="9">
        <v>172350</v>
      </c>
      <c r="V50" s="9"/>
      <c r="W50" s="9">
        <v>75350</v>
      </c>
      <c r="X50" s="10">
        <v>252150</v>
      </c>
      <c r="Y50" s="10">
        <v>52500</v>
      </c>
      <c r="Z50" s="9"/>
      <c r="AA50" s="10">
        <v>9150</v>
      </c>
      <c r="AB50" s="9">
        <v>242150</v>
      </c>
      <c r="AC50" s="9"/>
      <c r="AD50" s="9">
        <v>30850</v>
      </c>
      <c r="AE50" s="9"/>
      <c r="AF50" s="9">
        <v>193650</v>
      </c>
      <c r="AG50" s="9"/>
      <c r="AH50" s="12">
        <f t="shared" si="7"/>
        <v>2198950</v>
      </c>
    </row>
    <row r="51" ht="15" spans="1:34">
      <c r="A51" s="21"/>
      <c r="B51" s="18" t="s">
        <v>43</v>
      </c>
      <c r="C51" s="18"/>
      <c r="D51" s="19">
        <f t="shared" ref="D51:AG51" si="8">SUM(D44:D50)</f>
        <v>115500</v>
      </c>
      <c r="E51" s="19">
        <f t="shared" si="8"/>
        <v>0</v>
      </c>
      <c r="F51" s="19">
        <f t="shared" si="8"/>
        <v>408996</v>
      </c>
      <c r="G51" s="19">
        <f t="shared" si="8"/>
        <v>12986</v>
      </c>
      <c r="H51" s="19">
        <f t="shared" si="8"/>
        <v>428715</v>
      </c>
      <c r="I51" s="19">
        <f t="shared" si="8"/>
        <v>464015</v>
      </c>
      <c r="J51" s="19">
        <f t="shared" si="8"/>
        <v>380727</v>
      </c>
      <c r="K51" s="19">
        <f t="shared" si="8"/>
        <v>565716</v>
      </c>
      <c r="L51" s="19">
        <f t="shared" si="8"/>
        <v>0</v>
      </c>
      <c r="M51" s="19">
        <f t="shared" si="8"/>
        <v>631390</v>
      </c>
      <c r="N51" s="19">
        <f t="shared" si="8"/>
        <v>695759</v>
      </c>
      <c r="O51" s="19">
        <f t="shared" si="8"/>
        <v>38714</v>
      </c>
      <c r="P51" s="19">
        <f t="shared" si="8"/>
        <v>277803</v>
      </c>
      <c r="Q51" s="19">
        <f t="shared" si="8"/>
        <v>283718</v>
      </c>
      <c r="R51" s="19">
        <f t="shared" si="8"/>
        <v>763322</v>
      </c>
      <c r="S51" s="20">
        <f t="shared" si="8"/>
        <v>0</v>
      </c>
      <c r="T51" s="20">
        <f t="shared" si="8"/>
        <v>177028</v>
      </c>
      <c r="U51" s="20">
        <f t="shared" si="8"/>
        <v>401253</v>
      </c>
      <c r="V51" s="20">
        <f t="shared" si="8"/>
        <v>157439</v>
      </c>
      <c r="W51" s="20">
        <f t="shared" si="8"/>
        <v>90464</v>
      </c>
      <c r="X51" s="20">
        <f t="shared" si="8"/>
        <v>1133364</v>
      </c>
      <c r="Y51" s="20">
        <f t="shared" si="8"/>
        <v>163226</v>
      </c>
      <c r="Z51" s="20">
        <f t="shared" si="8"/>
        <v>0</v>
      </c>
      <c r="AA51" s="20">
        <f t="shared" si="8"/>
        <v>39162</v>
      </c>
      <c r="AB51" s="20">
        <f t="shared" si="8"/>
        <v>542883</v>
      </c>
      <c r="AC51" s="20">
        <f t="shared" si="8"/>
        <v>70674</v>
      </c>
      <c r="AD51" s="20">
        <f t="shared" si="8"/>
        <v>141147</v>
      </c>
      <c r="AE51" s="20">
        <f t="shared" si="8"/>
        <v>63904</v>
      </c>
      <c r="AF51" s="20">
        <f t="shared" si="8"/>
        <v>227563</v>
      </c>
      <c r="AG51" s="20">
        <f t="shared" si="8"/>
        <v>0</v>
      </c>
      <c r="AH51" s="12">
        <f t="shared" si="7"/>
        <v>8275468</v>
      </c>
    </row>
  </sheetData>
  <mergeCells count="44">
    <mergeCell ref="B1:C1"/>
    <mergeCell ref="B6:C6"/>
    <mergeCell ref="B7:C7"/>
    <mergeCell ref="B8:C8"/>
    <mergeCell ref="B9:C9"/>
    <mergeCell ref="B10:C10"/>
    <mergeCell ref="B14:C14"/>
    <mergeCell ref="B15:C15"/>
    <mergeCell ref="B16:C16"/>
    <mergeCell ref="B17:C17"/>
    <mergeCell ref="B18:C18"/>
    <mergeCell ref="B22:C22"/>
    <mergeCell ref="B23:C23"/>
    <mergeCell ref="B24:C24"/>
    <mergeCell ref="B25:C25"/>
    <mergeCell ref="B26:C26"/>
    <mergeCell ref="B30:C30"/>
    <mergeCell ref="B31:C31"/>
    <mergeCell ref="B32:C32"/>
    <mergeCell ref="B33:C33"/>
    <mergeCell ref="B34:C34"/>
    <mergeCell ref="B38:C38"/>
    <mergeCell ref="B39:C39"/>
    <mergeCell ref="B40:C40"/>
    <mergeCell ref="B41:C41"/>
    <mergeCell ref="B42:C42"/>
    <mergeCell ref="B43:C43"/>
    <mergeCell ref="B47:C47"/>
    <mergeCell ref="B48:C48"/>
    <mergeCell ref="B49:C49"/>
    <mergeCell ref="B50:C50"/>
    <mergeCell ref="B51:C51"/>
    <mergeCell ref="A2:A10"/>
    <mergeCell ref="A11:A18"/>
    <mergeCell ref="A19:A26"/>
    <mergeCell ref="A27:A34"/>
    <mergeCell ref="A35:A43"/>
    <mergeCell ref="A44:A51"/>
    <mergeCell ref="B2:B5"/>
    <mergeCell ref="B11:B13"/>
    <mergeCell ref="B19:B21"/>
    <mergeCell ref="B27:B29"/>
    <mergeCell ref="B35:B37"/>
    <mergeCell ref="B44:B4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23065</dc:creator>
  <cp:lastModifiedBy>小金</cp:lastModifiedBy>
  <dcterms:created xsi:type="dcterms:W3CDTF">2025-12-30T07:41:00Z</dcterms:created>
  <dcterms:modified xsi:type="dcterms:W3CDTF">2026-01-04T02:36:04Z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292C0292C0314D25A5BCFE16EE6D9B19_11</vt:lpwstr>
  </property>
  <property fmtid="{D5CDD505-2E9C-101B-9397-08002B2CF9AE}" pid="3" name="KSOProductBuildVer">
    <vt:lpwstr>2052-12.1.0.24031</vt:lpwstr>
  </property>
  <property fmtid="{D5CDD505-2E9C-101B-9397-08002B2CF9AE}" pid="4" name="CalculationRule">
    <vt:i4>1</vt:i4>
  </property>
</Properties>
</file>